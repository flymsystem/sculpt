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Runs" sheetId="2" state="visible" r:id="rId4"/>
  </sheets>
  <definedNames>
    <definedName function="false" hidden="true" localSheetId="1" name="_xlnm._FilterDatabase" vbProcedure="false">'Test Runs'!$A$1:$J$196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<sst xmlns="http://schemas.openxmlformats.org/spreadsheetml/2006/main" count="784" uniqueCount="600">
  <si>
    <t xml:space="preserve">D Sculpt Fitness — Production Test Run</t>
  </si>
  <si>
    <t xml:space="preserve">Tester</t>
  </si>
  <si>
    <t xml:space="preserve">How to use</t>
  </si>
  <si>
    <t xml:space="preserve">Date started</t>
  </si>
  <si>
    <t xml:space="preserve">Build / URL tested</t>
  </si>
  <si>
    <t xml:space="preserve">1. Work through the "Test Runs" tab top to bottom.</t>
  </si>
  <si>
    <t xml:space="preserve">Finance All-Time revenue BEFORE testing</t>
  </si>
  <si>
    <t xml:space="preserve">2. Set Result to Pass / Fail / Blocked / Not tested (dropdown).</t>
  </si>
  <si>
    <t xml:space="preserve">Finance All-Time revenue AFTER cleanup</t>
  </si>
  <si>
    <t xml:space="preserve">3. On a Fail, write the ACTUAL numbers you saw in "Actual / notes" —</t>
  </si>
  <si>
    <t xml:space="preserve">Member count BEFORE / AFTER</t>
  </si>
  <si>
    <t xml:space="preserve">    not "wrong", but "Finance showed Rs 7,500, expected Rs 5,000".</t>
  </si>
  <si>
    <t xml:space="preserve">4. Set Severity on every Fail.</t>
  </si>
  <si>
    <t xml:space="preserve">Results</t>
  </si>
  <si>
    <t xml:space="preserve">5. Money wrong, two screens disagreeing, or a member seeing data</t>
  </si>
  <si>
    <t xml:space="preserve">Total tests</t>
  </si>
  <si>
    <t xml:space="preserve">    that is not theirs = Major at minimum.</t>
  </si>
  <si>
    <t xml:space="preserve">Pass</t>
  </si>
  <si>
    <t xml:space="preserve">6. Screenshot every failure, including the browser console (F12).</t>
  </si>
  <si>
    <t xml:space="preserve">Fail</t>
  </si>
  <si>
    <t xml:space="preserve">7. Prefix all test data with ZZTEST- and delete it at the end (section 18).</t>
  </si>
  <si>
    <t xml:space="preserve">Blocked</t>
  </si>
  <si>
    <t xml:space="preserve">Not tested</t>
  </si>
  <si>
    <t xml:space="preserve">Blockers</t>
  </si>
  <si>
    <t xml:space="preserve">Majors</t>
  </si>
  <si>
    <t xml:space="preserve">Minors</t>
  </si>
  <si>
    <t xml:space="preserve">By area — failures</t>
  </si>
  <si>
    <t xml:space="preserve">Area</t>
  </si>
  <si>
    <t xml:space="preserve">Blocker+Major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</si>
  <si>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</si>
  <si>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</si>
  <si>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</si>
  <si>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</si>
  <si>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</si>
  <si>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</si>
  <si>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</si>
  <si>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</si>
  <si>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</si>
  <si>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</si>
  <si>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</si>
  <si>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</si>
  <si>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</si>
  <si>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</si>
  <si>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</si>
  <si>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</si>
  <si>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</si>
  <si>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</si>
  <si>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</si>
  <si>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ID</t>
  </si>
  <si>
    <t xml:space="preserve">What to do</t>
  </si>
  <si>
    <t xml:space="preserve">What must happen</t>
  </si>
  <si>
    <t xml:space="preserve">Why it matters</t>
  </si>
  <si>
    <t xml:space="preserve">Result</t>
  </si>
  <si>
    <t xml:space="preserve">Actual / notes</t>
  </si>
  <si>
    <t xml:space="preserve">Severity</t>
  </si>
  <si>
    <t xml:space="preserve">Date</t>
  </si>
  <si>
    <t xml:space="preserve">0 · Before you start — environment sanity</t>
  </si>
  <si>
    <t xml:space="preserve">0.1</t>
  </si>
  <si>
    <t xml:space="preserve">Open the production URL in a fresh incognito window</t>
  </si>
  <si>
    <t xml:space="preserve">Landing page loads, no console errors, logo and photos render</t>
  </si>
  <si>
    <t xml:space="preserve">0.2</t>
  </si>
  <si>
    <t xml:space="preserve">Hard-refresh the dashboard 3 times in a row</t>
  </si>
  <si>
    <t xml:space="preserve">Never lands on the landing page or a blank screen. (A router race used to do exactly this)</t>
  </si>
  <si>
    <t xml:space="preserve">0.3</t>
  </si>
  <si>
    <t xml:space="preserve">Open the app, then go offline (airplane mode), then click around</t>
  </si>
  <si>
    <t xml:space="preserve">Clear "offline" messaging, not a white screen or a silent failure</t>
  </si>
  <si>
    <t xml:space="preserve">0.4</t>
  </si>
  <si>
    <t xml:space="preserve">Check the browser console on every page you visit today</t>
  </si>
  <si>
    <t xml:space="preserve">Zero red errors. Note any that appear</t>
  </si>
  <si>
    <t xml:space="preserve">0.5</t>
  </si>
  <si>
    <t xml:space="preserve">Install as a PWA (Add to Home Screen) and open it</t>
  </si>
  <si>
    <t xml:space="preserve">Opens standalone, icon correct, works</t>
  </si>
  <si>
    <t xml:space="preserve">0.6</t>
  </si>
  <si>
    <t xml:space="preserve">Log in, log out, log in again</t>
  </si>
  <si>
    <t xml:space="preserve">Second login works without clearing cache</t>
  </si>
  <si>
    <t xml:space="preserve">1 · Member login (member portal)</t>
  </si>
  <si>
    <t xml:space="preserve">1.1</t>
  </si>
  <si>
    <t xml:space="preserve">Add a brand-new member as owner. **Write down the application number shown.**</t>
  </si>
  <si>
    <t xml:space="preserve">The application number is shown clearly after saving and is not blank/`—`/`null`</t>
  </si>
  <si>
    <t xml:space="preserve">Members were being created with no application number at all, so they could never log in and nobody knew</t>
  </si>
  <si>
    <t xml:space="preserve">1.2</t>
  </si>
  <si>
    <t xml:space="preserve">Log in to the member portal with that number + phone</t>
  </si>
  <si>
    <t xml:space="preserve">Lands on the member portal</t>
  </si>
  <si>
    <t xml:space="preserve">1.3</t>
  </si>
  <si>
    <t xml:space="preserve">Log in as a member who was created **weeks ago**, not today</t>
  </si>
  <si>
    <t xml:space="preserve">Works too</t>
  </si>
  <si>
    <t xml:space="preserve">Old members and new members go through different code paths</t>
  </si>
  <si>
    <t xml:space="preserve">1.4</t>
  </si>
  <si>
    <t xml:space="preserve">Type the phone **with +91**, with spaces, with a leading 0</t>
  </si>
  <si>
    <t xml:space="preserve">All three work</t>
  </si>
  <si>
    <t xml:space="preserve">People paste from Contacts</t>
  </si>
  <si>
    <t xml:space="preserve">1.5</t>
  </si>
  <si>
    <t xml:space="preserve">Type the application number in lowercase</t>
  </si>
  <si>
    <t xml:space="preserve">Works</t>
  </si>
  <si>
    <t xml:space="preserve">1.6</t>
  </si>
  <si>
    <t xml:space="preserve">Wrong application number, correct phone</t>
  </si>
  <si>
    <t xml:space="preserve">Generic error. Must **not** say which field was wrong</t>
  </si>
  <si>
    <t xml:space="preserve">Saying "phone is wrong" tells an attacker the number is real</t>
  </si>
  <si>
    <t xml:space="preserve">1.7</t>
  </si>
  <si>
    <t xml:space="preserve">Correct application number, wrong phone</t>
  </si>
  <si>
    <t xml:space="preserve">**Exactly the same** error text as 1.6</t>
  </si>
  <si>
    <t xml:space="preserve">Any difference is a security hole</t>
  </si>
  <si>
    <t xml:space="preserve">1.8</t>
  </si>
  <si>
    <t xml:space="preserve">Fail login 6 times in a row</t>
  </si>
  <si>
    <t xml:space="preserve">Locks out with a "too many attempts" message</t>
  </si>
  <si>
    <t xml:space="preserve">1.9</t>
  </si>
  <si>
    <t xml:space="preserve">After lockout, wait it out and log in correctly</t>
  </si>
  <si>
    <t xml:space="preserve">Works again — you are not locked out permanently</t>
  </si>
  <si>
    <t xml:space="preserve">1.10</t>
  </si>
  <si>
    <t xml:space="preserve">**Edit that member** (change anything — name, notes, photo) and save. Then log in as them again</t>
  </si>
  <si>
    <t xml:space="preserve">Login still works</t>
  </si>
  <si>
    <t xml:space="preserve">Editing a member has previously overwritten the application number with blank and silently locked them out. This is the single highest-value test on this page</t>
  </si>
  <si>
    <t xml:space="preserve">1.11</t>
  </si>
  <si>
    <t xml:space="preserve">Regenerate a member's application number, then try the **old** number</t>
  </si>
  <si>
    <t xml:space="preserve">Old number rejected, new number works</t>
  </si>
  <si>
    <t xml:space="preserve">1.12</t>
  </si>
  <si>
    <t xml:space="preserve">Log in as member A, then log out and log in as member B on the same device</t>
  </si>
  <si>
    <t xml:space="preserve">B sees only B's data. No trace of A's name, plan, receipts or visits anywhere</t>
  </si>
  <si>
    <t xml:space="preserve">1.13</t>
  </si>
  <si>
    <t xml:space="preserve">While logged in as a member, look for anything owner-only: the Add Member button, sidebar, finance figures</t>
  </si>
  <si>
    <t xml:space="preserve">Nothing owner-only visible. The floating "+" button in particular has leaked into the member portal before</t>
  </si>
  <si>
    <t xml:space="preserve">1.14</t>
  </si>
  <si>
    <t xml:space="preserve">Member portal → all four tabs (Check In, My Plan, Receipts, Visits)</t>
  </si>
  <si>
    <t xml:space="preserve">All render, nothing blank, no console errors</t>
  </si>
  <si>
    <t xml:space="preserve">1.15</t>
  </si>
  <si>
    <t xml:space="preserve">Log in as a member whose membership is **expired**</t>
  </si>
  <si>
    <t xml:space="preserve">Shows "expired X days ago" — never a negative number like "-5 days remaining"</t>
  </si>
  <si>
    <t xml:space="preserve">Fixed once; check both the My Plan tab and the Check In tab, they were separate bugs</t>
  </si>
  <si>
    <t xml:space="preserve">2 · Add member → the money must appear everywhere</t>
  </si>
  <si>
    <t xml:space="preserve">2.1</t>
  </si>
  <si>
    <t xml:space="preserve">Add `ZZTEST-A` on a ₹2,500 plan, fully paid, Cash</t>
  </si>
  <si>
    <t xml:space="preserve">Saves, success message, application number shown</t>
  </si>
  <si>
    <t xml:space="preserve">2.2</t>
  </si>
  <si>
    <t xml:space="preserve">Members list</t>
  </si>
  <si>
    <t xml:space="preserve">Appears, correct plan, correct status, correct expiry</t>
  </si>
  <si>
    <t xml:space="preserve">2.3</t>
  </si>
  <si>
    <t xml:space="preserve">Finance → This Month</t>
  </si>
  <si>
    <t xml:space="preserve">Revenue went up by **exactly ₹2,500**. Cash total went up by ₹2,500. Card and Online unchanged</t>
  </si>
  <si>
    <t xml:space="preserve">2.4</t>
  </si>
  <si>
    <t xml:space="preserve">Overview</t>
  </si>
  <si>
    <t xml:space="preserve">Revenue figure matches Finance. Member count went up by 1</t>
  </si>
  <si>
    <t xml:space="preserve">2.5</t>
  </si>
  <si>
    <t xml:space="preserve">Open the member → payment history</t>
  </si>
  <si>
    <t xml:space="preserve">One payment, ₹2,500, Cash, today's date</t>
  </si>
  <si>
    <t xml:space="preserve">2.6</t>
  </si>
  <si>
    <t xml:space="preserve">Generate the invoice</t>
  </si>
  <si>
    <t xml:space="preserve">Amount ₹2,500, correct name, correct gym details, correct GST treatment</t>
  </si>
  <si>
    <t xml:space="preserve">2.7</t>
  </si>
  <si>
    <t xml:space="preserve">Hard-refresh, re-check Finance and Overview</t>
  </si>
  <si>
    <t xml:space="preserve">Same numbers. Nothing drifted</t>
  </si>
  <si>
    <t xml:space="preserve">2.8</t>
  </si>
  <si>
    <t xml:space="preserve">Plan **+ an add-on** (e.g. ₹2,500 plan + ₹300 cardio)</t>
  </si>
  <si>
    <t xml:space="preserve">Member detail modal must show ₹2,500 plan / ₹300 add-on / **₹2,800 total** — not ₹2,800 plan and ₹3,100 total. Add-ons were being counted twice in the modal while the invoice and DB were correct</t>
  </si>
  <si>
    <t xml:space="preserve">2.9</t>
  </si>
  <si>
    <t xml:space="preserve">**Partial payment** — ₹2,500 plan, ₹1,000 paid now</t>
  </si>
  <si>
    <t xml:space="preserve">Finance revenue +₹1,000 (not ₹2,500). Pending Dues +₹1,500. Member status "Partial". Alerts → Due shows them</t>
  </si>
  <si>
    <t xml:space="preserve">2.10</t>
  </si>
  <si>
    <t xml:space="preserve">**Zero paid / full due**</t>
  </si>
  <si>
    <t xml:space="preserve">Revenue unchanged. Dues +₹2,500</t>
  </si>
  <si>
    <t xml:space="preserve">2.11</t>
  </si>
  <si>
    <t xml:space="preserve">**With a discount**</t>
  </si>
  <si>
    <t xml:space="preserve">Invoice, member modal and Finance all agree on the discounted figure</t>
  </si>
  <si>
    <t xml:space="preserve">2.12</t>
  </si>
  <si>
    <t xml:space="preserve">**Trial member**</t>
  </si>
  <si>
    <t xml:space="preserve">Expiry is the trial date you set, not a plan-derived date. Doesn't pollute revenue if unpaid</t>
  </si>
  <si>
    <t xml:space="preserve">2.13</t>
  </si>
  <si>
    <t xml:space="preserve">Card payment, then Online payment</t>
  </si>
  <si>
    <t xml:space="preserve">Finance's Cash/Card/Online split matches exactly. These three must sum to total revenue</t>
  </si>
  <si>
    <t xml:space="preserve">2.14</t>
  </si>
  <si>
    <t xml:space="preserve">Add a member **with no phone number**</t>
  </si>
  <si>
    <t xml:space="preserve">Either blocked with a clear message, or saved — but then the portal-login prompt must say they can't be sent login details</t>
  </si>
  <si>
    <t xml:space="preserve">2.15</t>
  </si>
  <si>
    <t xml:space="preserve">Add two members with the **same phone number**</t>
  </si>
  <si>
    <t xml:space="preserve">Blocked with a readable message, not a raw database error</t>
  </si>
  <si>
    <t xml:space="preserve">2.16</t>
  </si>
  <si>
    <t xml:space="preserve">Add a member with a **future join date**, and one with a **past join date**</t>
  </si>
  <si>
    <t xml:space="preserve">Expiry calculated from the join date, not today. Shows in the right month in Finance</t>
  </si>
  <si>
    <t xml:space="preserve">2.17</t>
  </si>
  <si>
    <t xml:space="preserve">Double-click **Save** rapidly</t>
  </si>
  <si>
    <t xml:space="preserve">Exactly one member, one payment. Not two</t>
  </si>
  <si>
    <t xml:space="preserve">2.18</t>
  </si>
  <si>
    <t xml:space="preserve">Turn off wifi mid-save, turn it back on</t>
  </si>
  <si>
    <t xml:space="preserve">Either it saved once, or it didn't save at all. Never a member with no payment recorded, never two members</t>
  </si>
  <si>
    <t xml:space="preserve">2.19</t>
  </si>
  <si>
    <t xml:space="preserve">Name with an apostrophe (`ZZTEST-O'Brien`) and one with `&lt;b&gt;bold&lt;/b&gt;` in it</t>
  </si>
  <si>
    <t xml:space="preserve">Displays literally. No broken layout, no bold text rendering, no crash. Check the list, the modal, the invoice and the CSV export</t>
  </si>
  <si>
    <t xml:space="preserve">3 · Delete / remove a member</t>
  </si>
  <si>
    <t xml:space="preserve">3.1</t>
  </si>
  <si>
    <t xml:space="preserve">Add `ZZTEST-B` with a ₹2,000 payment. Note Finance revenue</t>
  </si>
  <si>
    <t xml:space="preserve">3.2</t>
  </si>
  <si>
    <t xml:space="preserve">**Remove** the member (the normal soft delete)</t>
  </si>
  <si>
    <t xml:space="preserve">Gone from Members list, gone from Alerts, gone from member count</t>
  </si>
  <si>
    <t xml:space="preserve">3.3</t>
  </si>
  <si>
    <t xml:space="preserve">Check Finance immediately, then after a hard refresh</t>
  </si>
  <si>
    <t xml:space="preserve">Revenue **still includes** the ₹2,000 — this is correct and deliberate. The screen must *say so* somewhere, so the owner isn't left thinking it's a bug</t>
  </si>
  <si>
    <t xml:space="preserve">3.4</t>
  </si>
  <si>
    <t xml:space="preserve">Use **Delete permanently** on another test member with a payment</t>
  </si>
  <si>
    <t xml:space="preserve">Revenue drops by exactly that member's payments. Member, payments, invoices and check-ins all gone</t>
  </si>
  <si>
    <t xml:space="preserve">3.5</t>
  </si>
  <si>
    <t xml:space="preserve">Try Delete permanently as **staff** 🔒</t>
  </si>
  <si>
    <t xml:space="preserve">Not available / refused</t>
  </si>
  <si>
    <t xml:space="preserve">3.6</t>
  </si>
  <si>
    <t xml:space="preserve">Delete permanently, then hard refresh, then check Finance, Overview, Analytics, and the Payments CSV export</t>
  </si>
  <si>
    <t xml:space="preserve">All five agree that the money is gone. Not "gone in Finance, still in Analytics"</t>
  </si>
  <si>
    <t xml:space="preserve">3.7</t>
  </si>
  <si>
    <t xml:space="preserve">Remove a member, then check the Payments/Members CSV export and the Full Backup</t>
  </si>
  <si>
    <t xml:space="preserve">The removed member is handled consistently — either present-and-marked or absent, in *every* export, not different per file</t>
  </si>
  <si>
    <t xml:space="preserve">3.8</t>
  </si>
  <si>
    <t xml:space="preserve">Remove a member who has an **outstanding balance**</t>
  </si>
  <si>
    <t xml:space="preserve">Pending Dues drops by their balance. Alerts count drops</t>
  </si>
  <si>
    <t xml:space="preserve">3.9</t>
  </si>
  <si>
    <t xml:space="preserve">Cancel a membership (not delete)</t>
  </si>
  <si>
    <t xml:space="preserve">Different from remove: check what Finance, Alerts and the member's own portal each show</t>
  </si>
  <si>
    <t xml:space="preserve">3.10</t>
  </si>
  <si>
    <t xml:space="preserve">Remove the **last remaining** member</t>
  </si>
  <si>
    <t xml:space="preserve">Finance/Overview show ₹0 or empty states cleanly, not "NaN", "undefined" or a broken chart</t>
  </si>
  <si>
    <t xml:space="preserve">4 · Renewals</t>
  </si>
  <si>
    <t xml:space="preserve">4.1</t>
  </si>
  <si>
    <t xml:space="preserve">Renew a member **before** their expiry, same plan, same price</t>
  </si>
  <si>
    <t xml:space="preserve">Succeeds. New expiry = old expiry + plan duration (**not** today + duration — they must not lose the days they'd already paid for)</t>
  </si>
  <si>
    <t xml:space="preserve">4.2</t>
  </si>
  <si>
    <t xml:space="preserve">**Renew the same member again** on the same plan and price a minute later</t>
  </si>
  <si>
    <t xml:space="preserve">Must succeed. This exact case was permanently blocked as a "duplicate" — the single most common real-world pattern</t>
  </si>
  <si>
    <t xml:space="preserve">4.3</t>
  </si>
  <si>
    <t xml:space="preserve">Renew a member **after** expiry</t>
  </si>
  <si>
    <t xml:space="preserve">New expiry counts from today, not from the old expired date</t>
  </si>
  <si>
    <t xml:space="preserve">4.4</t>
  </si>
  <si>
    <t xml:space="preserve">Double-click the Renew confirm button</t>
  </si>
  <si>
    <t xml:space="preserve">Exactly one renewal, one payment</t>
  </si>
  <si>
    <t xml:space="preserve">4.5</t>
  </si>
  <si>
    <t xml:space="preserve">After each renewal: Finance, Overview, payment history, invoice, member's own portal</t>
  </si>
  <si>
    <t xml:space="preserve">All show the new payment and the new expiry. All agree</t>
  </si>
  <si>
    <t xml:space="preserve">4.6</t>
  </si>
  <si>
    <t xml:space="preserve">Renew onto a **different, more expensive** plan</t>
  </si>
  <si>
    <t xml:space="preserve">Amount, expiry and plan name all update everywhere</t>
  </si>
  <si>
    <t xml:space="preserve">4.7</t>
  </si>
  <si>
    <t xml:space="preserve">Renew with a partial payment</t>
  </si>
  <si>
    <t xml:space="preserve">Balance due created correctly, appears in Alerts and Finance Pending Dues</t>
  </si>
  <si>
    <t xml:space="preserve">4.8</t>
  </si>
  <si>
    <t xml:space="preserve">Renew a **cancelled** member</t>
  </si>
  <si>
    <t xml:space="preserve">Either sensibly reactivates them or is blocked with a clear message — not a silent failure</t>
  </si>
  <si>
    <t xml:space="preserve">5 · Collecting a pending balance</t>
  </si>
  <si>
    <t xml:space="preserve">5.1</t>
  </si>
  <si>
    <t xml:space="preserve">Member with ₹1,500 due — collect ₹500</t>
  </si>
  <si>
    <t xml:space="preserve">Balance now ₹1,000. Status stays Partial. Finance revenue +₹500. Dues −₹500</t>
  </si>
  <si>
    <t xml:space="preserve">5.2</t>
  </si>
  <si>
    <t xml:space="preserve">Collect the remaining ₹1,000</t>
  </si>
  <si>
    <t xml:space="preserve">Balance ₹0, status Paid, member leaves the Alerts→Due list</t>
  </si>
  <si>
    <t xml:space="preserve">5.3</t>
  </si>
  <si>
    <t xml:space="preserve">Try to collect **more** than the balance</t>
  </si>
  <si>
    <t xml:space="preserve">Blocked or handled sensibly — never a negative balance</t>
  </si>
  <si>
    <t xml:space="preserve">5.4</t>
  </si>
  <si>
    <t xml:space="preserve">Try to collect ₹0 or a negative amount</t>
  </si>
  <si>
    <t xml:space="preserve">5.5</t>
  </si>
  <si>
    <t xml:space="preserve">Open the same member on two devices/tabs and collect at the same time</t>
  </si>
  <si>
    <t xml:space="preserve">Money counted once, not twice</t>
  </si>
  <si>
    <t xml:space="preserve">5.6</t>
  </si>
  <si>
    <t xml:space="preserve">After collecting, check the invoice and payment history</t>
  </si>
  <si>
    <t xml:space="preserve">Both show the new payment separately from the original</t>
  </si>
  <si>
    <t xml:space="preserve">5.7</t>
  </si>
  <si>
    <t xml:space="preserve">As staff 🔒 collect a balance</t>
  </si>
  <si>
    <t xml:space="preserve">Allowed (staff can collect) — but the Finance page must still be blocked for them</t>
  </si>
  <si>
    <t xml:space="preserve">6 · Finance page</t>
  </si>
  <si>
    <t xml:space="preserve">6.1</t>
  </si>
  <si>
    <t xml:space="preserve">Click through every period: Today / This Week / This Month / Last Month / Calendar Year / All Time</t>
  </si>
  <si>
    <t xml:space="preserve">Each loads, no console errors, figures change sensibly</t>
  </si>
  <si>
    <t xml:space="preserve">6.2</t>
  </si>
  <si>
    <t xml:space="preserve">Add up: does Cash + Card + Online = total Revenue?</t>
  </si>
  <si>
    <t xml:space="preserve">Yes, in every period</t>
  </si>
  <si>
    <t xml:space="preserve">6.3</t>
  </si>
  <si>
    <t xml:space="preserve">Net Profit = Revenue − Expenses?</t>
  </si>
  <si>
    <t xml:space="preserve">Check by hand for one period</t>
  </si>
  <si>
    <t xml:space="preserve">6.4</t>
  </si>
  <si>
    <t xml:space="preserve">"All Time" revenue vs the sum of every month</t>
  </si>
  <si>
    <t xml:space="preserve">Must reconcile</t>
  </si>
  <si>
    <t xml:space="preserve">6.5</t>
  </si>
  <si>
    <t xml:space="preserve">Custom range: pick a range that contains a known payment</t>
  </si>
  <si>
    <t xml:space="preserve">That payment is included. Check both boundary days — the first and last day of the range must be inclusive. Off-by-one on the end date has broken this before</t>
  </si>
  <si>
    <t xml:space="preserve">6.6</t>
  </si>
  <si>
    <t xml:space="preserve">Custom range with **end date before start date**</t>
  </si>
  <si>
    <t xml:space="preserve">Blocked or handled, not a crash or a nonsense number</t>
  </si>
  <si>
    <t xml:space="preserve">6.7</t>
  </si>
  <si>
    <t xml:space="preserve">Add an expense dated **today**, check This Month; then change it to last month</t>
  </si>
  <si>
    <t xml:space="preserve">Moves between periods correctly</t>
  </si>
  <si>
    <t xml:space="preserve">6.8</t>
  </si>
  <si>
    <t xml:space="preserve">Pending Dues card</t>
  </si>
  <si>
    <t xml:space="preserve">It is **all-time**, not period-scoped. Confirm the label says so and the number matches the sum of every member's balance</t>
  </si>
  <si>
    <t xml:space="preserve">6.9</t>
  </si>
  <si>
    <t xml:space="preserve">Click each stat card to expand the detail</t>
  </si>
  <si>
    <t xml:space="preserve">Rows shown match the total above them</t>
  </si>
  <si>
    <t xml:space="preserve">6.10</t>
  </si>
  <si>
    <t xml:space="preserve">Export CSV</t>
  </si>
  <si>
    <t xml:space="preserve">Opens in Excel. Rows match what's on screen. Member names with commas/apostrophes don't break the columns. Filename sensible</t>
  </si>
  <si>
    <t xml:space="preserve">6.11</t>
  </si>
  <si>
    <t xml:space="preserve">The 6-month Revenue vs Expenses chart</t>
  </si>
  <si>
    <t xml:space="preserve">Doesn't change when you change the period buttons (it's a fixed 6-month trend) — and the label must say so</t>
  </si>
  <si>
    <t xml:space="preserve">6.12</t>
  </si>
  <si>
    <t xml:space="preserve">As staff 🔒 try to reach Finance (sidebar and by typing the URL `/dashboard/finance`)</t>
  </si>
  <si>
    <t xml:space="preserve">Blocked both ways</t>
  </si>
  <si>
    <t xml:space="preserve">7 · Expenses</t>
  </si>
  <si>
    <t xml:space="preserve">7.1</t>
  </si>
  <si>
    <t xml:space="preserve">Add an expense, check Finance</t>
  </si>
  <si>
    <t xml:space="preserve">Expenses total and Net Profit both move</t>
  </si>
  <si>
    <t xml:space="preserve">7.2</t>
  </si>
  <si>
    <t xml:space="preserve">Edit its amount</t>
  </si>
  <si>
    <t xml:space="preserve">Finance updates</t>
  </si>
  <si>
    <t xml:space="preserve">7.3</t>
  </si>
  <si>
    <t xml:space="preserve">Delete it</t>
  </si>
  <si>
    <t xml:space="preserve">Finance returns to the previous figure exactly</t>
  </si>
  <si>
    <t xml:space="preserve">7.4</t>
  </si>
  <si>
    <t xml:space="preserve">Expense on the **1st** and on the **last day** of a month</t>
  </si>
  <si>
    <t xml:space="preserve">Both land in the right month. Month-boundary handling has broken here before</t>
  </si>
  <si>
    <t xml:space="preserve">7.5</t>
  </si>
  <si>
    <t xml:space="preserve">Category name with `&lt;script&gt;` or `&amp;` in it</t>
  </si>
  <si>
    <t xml:space="preserve">Displays literally, does not break the page (this exact spot had an XSS bug)</t>
  </si>
  <si>
    <t xml:space="preserve">7.6</t>
  </si>
  <si>
    <t xml:space="preserve">Very large amount, and a decimal amount (₹99.50)</t>
  </si>
  <si>
    <t xml:space="preserve">Stored and displayed correctly, rounding consistent everywhere</t>
  </si>
  <si>
    <t xml:space="preserve">7.7</t>
  </si>
  <si>
    <t xml:space="preserve">As staff 🔒</t>
  </si>
  <si>
    <t xml:space="preserve">Can add, **cannot** edit or delete</t>
  </si>
  <si>
    <t xml:space="preserve">8 · Check-in (desk display + scanner)</t>
  </si>
  <si>
    <t xml:space="preserve">8.1</t>
  </si>
  <si>
    <t xml:space="preserve">Open the desk display</t>
  </si>
  <si>
    <t xml:space="preserve">QR appears, refreshes on its own (watch for ~1 min), screen doesn't sleep</t>
  </si>
  <si>
    <t xml:space="preserve">8.2</t>
  </si>
  <si>
    <t xml:space="preserve">Press the **Back** button on the desk display</t>
  </si>
  <si>
    <t xml:space="preserve">Returns to the dashboard **on the first press**. This is the button that failed at the client site</t>
  </si>
  <si>
    <t xml:space="preserve">8.3</t>
  </si>
  <si>
    <t xml:space="preserve">Go to another section and come back to the desk display, then press Back again</t>
  </si>
  <si>
    <t xml:space="preserve">Still works. The earlier failure only appeared after navigating around first</t>
  </si>
  <si>
    <t xml:space="preserve">8.4</t>
  </si>
  <si>
    <t xml:space="preserve">Scan the QR from the member portal as an **active** member</t>
  </si>
  <si>
    <t xml:space="preserve">Check-in succeeds, confirmation shown</t>
  </si>
  <si>
    <t xml:space="preserve">8.5</t>
  </si>
  <si>
    <t xml:space="preserve">Scan again immediately</t>
  </si>
  <si>
    <t xml:space="preserve">Handled — either a friendly "already checked in" or counted once. Never two visits for one entry</t>
  </si>
  <si>
    <t xml:space="preserve">8.6</t>
  </si>
  <si>
    <t xml:space="preserve">Scan as an **expired** member</t>
  </si>
  <si>
    <t xml:space="preserve">Rejected with a clear reason</t>
  </si>
  <si>
    <t xml:space="preserve">8.7</t>
  </si>
  <si>
    <t xml:space="preserve">Scan a QR screenshot taken **2+ minutes ago**</t>
  </si>
  <si>
    <t xml:space="preserve">Rejected (codes expire)</t>
  </si>
  <si>
    <t xml:space="preserve">8.8</t>
  </si>
  <si>
    <t xml:space="preserve">Check in early morning (before 6am if you can) or change device time</t>
  </si>
  <si>
    <t xml:space="preserve">The visit lands on today's date in India time, not yesterday. UTC/IST slippage has broken this class of thing before</t>
  </si>
  <si>
    <t xml:space="preserve">8.9</t>
  </si>
  <si>
    <t xml:space="preserve">Staff manual check-in</t>
  </si>
  <si>
    <t xml:space="preserve">Works, appears in Check-ins list</t>
  </si>
  <si>
    <t xml:space="preserve">8.10</t>
  </si>
  <si>
    <t xml:space="preserve">After check-ins: Check-ins page, the member's Visits tab, and the attendance report</t>
  </si>
  <si>
    <t xml:space="preserve">All show the same visits, same count, same dates</t>
  </si>
  <si>
    <t xml:space="preserve">8.11</t>
  </si>
  <si>
    <t xml:space="preserve">Leave the desk display open for 10 minutes</t>
  </si>
  <si>
    <t xml:space="preserve">Still refreshing, no memory bloat, no console errors piling up</t>
  </si>
  <si>
    <t xml:space="preserve">8.12</t>
  </si>
  <si>
    <t xml:space="preserve">Desk display with wifi off</t>
  </si>
  <si>
    <t xml:space="preserve">Shows the offline warning, doesn't show a stale QR as if it were valid</t>
  </si>
  <si>
    <t xml:space="preserve">9 · Staff accounts and permissions 🔒</t>
  </si>
  <si>
    <t xml:space="preserve">9.1</t>
  </si>
  <si>
    <t xml:space="preserve">Create a staff login, log in as them</t>
  </si>
  <si>
    <t xml:space="preserve">9.2</t>
  </si>
  <si>
    <t xml:space="preserve">As staff, check the sidebar</t>
  </si>
  <si>
    <t xml:space="preserve">No Finance, Staff, Settings, Backup, Analytics</t>
  </si>
  <si>
    <t xml:space="preserve">9.3</t>
  </si>
  <si>
    <t xml:space="preserve">As staff, **type the URLs directly**: `/dashboard/finance`, `/dashboard/staff`, `/dashboard/gymconfig`, `/dashboard/backup`, `/dashboard/analytics`</t>
  </si>
  <si>
    <t xml:space="preserve">All blocked. Hiding the menu item is not enough</t>
  </si>
  <si>
    <t xml:space="preserve">9.4</t>
  </si>
  <si>
    <t xml:space="preserve">As staff, look at Overview</t>
  </si>
  <si>
    <t xml:space="preserve">No revenue figures anywhere</t>
  </si>
  <si>
    <t xml:space="preserve">9.5</t>
  </si>
  <si>
    <t xml:space="preserve">As staff, open a member</t>
  </si>
  <si>
    <t xml:space="preserve">Can edit, can renew, can collect — **cannot** delete or cancel</t>
  </si>
  <si>
    <t xml:space="preserve">9.6</t>
  </si>
  <si>
    <t xml:space="preserve">Reset a staff password as owner, then log in as staff with the new password</t>
  </si>
  <si>
    <t xml:space="preserve">Works; old password rejected</t>
  </si>
  <si>
    <t xml:space="preserve">9.7</t>
  </si>
  <si>
    <t xml:space="preserve">Revoke/disable a staff login, then try to log in as them</t>
  </si>
  <si>
    <t xml:space="preserve">Blocked. And if they were already logged in in another tab, they lose access on next action</t>
  </si>
  <si>
    <t xml:space="preserve">9.8</t>
  </si>
  <si>
    <t xml:space="preserve">Delete a staff member who has added members</t>
  </si>
  <si>
    <t xml:space="preserve">Their added members survive; "added by" doesn't crash the UI</t>
  </si>
  <si>
    <t xml:space="preserve">9.9</t>
  </si>
  <si>
    <t xml:space="preserve">Log in as owner and staff in two browsers at once</t>
  </si>
  <si>
    <t xml:space="preserve">Neither one's session breaks the other</t>
  </si>
  <si>
    <t xml:space="preserve">10 · Plans</t>
  </si>
  <si>
    <t xml:space="preserve">10.1</t>
  </si>
  <si>
    <t xml:space="preserve">Create a plan, add a member on it</t>
  </si>
  <si>
    <t xml:space="preserve">Price and duration flow through to expiry, invoice and Finance</t>
  </si>
  <si>
    <t xml:space="preserve">10.2</t>
  </si>
  <si>
    <t xml:space="preserve">**Change the plan's price**, then look at the existing member</t>
  </si>
  <si>
    <t xml:space="preserve">Their historical payment must NOT change. Their invoice must still show what they actually paid</t>
  </si>
  <si>
    <t xml:space="preserve">10.3</t>
  </si>
  <si>
    <t xml:space="preserve">**Delete a plan** that members are on</t>
  </si>
  <si>
    <t xml:space="preserve">Those members still display correctly. Their detail modal and invoice don't break or show wrong totals — the fallback path for a deleted plan has had its own arithmetic bug</t>
  </si>
  <si>
    <t xml:space="preserve">10.4</t>
  </si>
  <si>
    <t xml:space="preserve">Duplicate a plan, edit the copy</t>
  </si>
  <si>
    <t xml:space="preserve">Original untouched</t>
  </si>
  <si>
    <t xml:space="preserve">10.5</t>
  </si>
  <si>
    <t xml:space="preserve">Plan with 0 or negative price/duration</t>
  </si>
  <si>
    <t xml:space="preserve">10.6</t>
  </si>
  <si>
    <t xml:space="preserve">Plans Showcase page vs Plan Settings</t>
  </si>
  <si>
    <t xml:space="preserve">Same plans, same prices</t>
  </si>
  <si>
    <t xml:space="preserve">10.7</t>
  </si>
  <si>
    <t xml:space="preserve">View only, no editing</t>
  </si>
  <si>
    <t xml:space="preserve">11 · Enquiries</t>
  </si>
  <si>
    <t xml:space="preserve">11.1</t>
  </si>
  <si>
    <t xml:space="preserve">Add an enquiry, move it New → Contacted → Converted</t>
  </si>
  <si>
    <t xml:space="preserve">Counts on the four cards update every time</t>
  </si>
  <si>
    <t xml:space="preserve">11.2</t>
  </si>
  <si>
    <t xml:space="preserve">Convert an enquiry into a member</t>
  </si>
  <si>
    <t xml:space="preserve">Member created with the enquiry's details prefilled; enquiry marked converted; **not** duplicated as a fresh enquiry</t>
  </si>
  <si>
    <t xml:space="preserve">11.3</t>
  </si>
  <si>
    <t xml:space="preserve">Filter by each status</t>
  </si>
  <si>
    <t xml:space="preserve">Counts match the rows shown</t>
  </si>
  <si>
    <t xml:space="preserve">11.4</t>
  </si>
  <si>
    <t xml:space="preserve">Delete an enquiry</t>
  </si>
  <si>
    <t xml:space="preserve">Counts drop; nothing else affected</t>
  </si>
  <si>
    <t xml:space="preserve">11.5</t>
  </si>
  <si>
    <t xml:space="preserve">Enquiry with a phone that's already a member</t>
  </si>
  <si>
    <t xml:space="preserve">Handled sensibly, message is readable</t>
  </si>
  <si>
    <t xml:space="preserve">12 · Alerts</t>
  </si>
  <si>
    <t xml:space="preserve">12.1</t>
  </si>
  <si>
    <t xml:space="preserve">Compare the "Payment Due" count and total against Finance → Pending Dues</t>
  </si>
  <si>
    <t xml:space="preserve">Identical. These two disagreeing is a classic</t>
  </si>
  <si>
    <t xml:space="preserve">12.2</t>
  </si>
  <si>
    <t xml:space="preserve">Collect a member's balance</t>
  </si>
  <si>
    <t xml:space="preserve">They disappear from the Due list immediately and after refresh</t>
  </si>
  <si>
    <t xml:space="preserve">12.3</t>
  </si>
  <si>
    <t xml:space="preserve">Renew an expiring member</t>
  </si>
  <si>
    <t xml:space="preserve">They leave the Expiring list</t>
  </si>
  <si>
    <t xml:space="preserve">12.4</t>
  </si>
  <si>
    <t xml:space="preserve">Each filter pill (All / Expired / Expiring / Due)</t>
  </si>
  <si>
    <t xml:space="preserve">Count on the pill = rows shown</t>
  </si>
  <si>
    <t xml:space="preserve">12.5</t>
  </si>
  <si>
    <t xml:space="preserve">A member expiring **today**</t>
  </si>
  <si>
    <t xml:space="preserve">Appears in exactly one bucket, not both Expired and Expiring</t>
  </si>
  <si>
    <t xml:space="preserve">12.6</t>
  </si>
  <si>
    <t xml:space="preserve">Members with no phone number</t>
  </si>
  <si>
    <t xml:space="preserve">"callable" count is accurate; call button doesn't appear or is disabled</t>
  </si>
  <si>
    <t xml:space="preserve">12.7</t>
  </si>
  <si>
    <t xml:space="preserve">Click a member from Alerts</t>
  </si>
  <si>
    <t xml:space="preserve">Opens the right member</t>
  </si>
  <si>
    <t xml:space="preserve">13 · Invoices &amp; WhatsApp</t>
  </si>
  <si>
    <t xml:space="preserve">13.1</t>
  </si>
  <si>
    <t xml:space="preserve">Generate an invoice for a paid member</t>
  </si>
  <si>
    <t xml:space="preserve">Gym name, address, GSTIN, logo, member details, amount, date all correct</t>
  </si>
  <si>
    <t xml:space="preserve">13.2</t>
  </si>
  <si>
    <t xml:space="preserve">Check the address on the invoice</t>
  </si>
  <si>
    <t xml:space="preserve">It must be an **address**, not an email. (Settings currently has an email in the address field — confirm whether it's been fixed)</t>
  </si>
  <si>
    <t xml:space="preserve">13.3</t>
  </si>
  <si>
    <t xml:space="preserve">Invoice for a partially paid member</t>
  </si>
  <si>
    <t xml:space="preserve">Shows paid vs balance correctly</t>
  </si>
  <si>
    <t xml:space="preserve">13.4</t>
  </si>
  <si>
    <t xml:space="preserve">Invoice for a member with add-ons</t>
  </si>
  <si>
    <t xml:space="preserve">Line items add up to the total actually charged. Cross-check against payment history</t>
  </si>
  <si>
    <t xml:space="preserve">13.5</t>
  </si>
  <si>
    <t xml:space="preserve">Invoice with a discount applied</t>
  </si>
  <si>
    <t xml:space="preserve">Discount shown, maths correct</t>
  </si>
  <si>
    <t xml:space="preserve">13.6</t>
  </si>
  <si>
    <t xml:space="preserve">GST on / GST off in Settings</t>
  </si>
  <si>
    <t xml:space="preserve">Invoice changes accordingly; totals still correct</t>
  </si>
  <si>
    <t xml:space="preserve">13.7</t>
  </si>
  <si>
    <t xml:space="preserve">Print / save the invoice as PDF</t>
  </si>
  <si>
    <t xml:space="preserve">Fits the page, nothing cut off, no dark-mode-only colours making it unreadable on paper</t>
  </si>
  <si>
    <t xml:space="preserve">13.8</t>
  </si>
  <si>
    <t xml:space="preserve">Send login details / invoice via WhatsApp</t>
  </si>
  <si>
    <t xml:space="preserve">Opens WhatsApp with the right number and a readable message; the application number and link in the message are correct</t>
  </si>
  <si>
    <t xml:space="preserve">13.9</t>
  </si>
  <si>
    <t xml:space="preserve">Send WhatsApp to a member with no phone</t>
  </si>
  <si>
    <t xml:space="preserve">Blocked with a clear message, not a broken link</t>
  </si>
  <si>
    <t xml:space="preserve">13.10</t>
  </si>
  <si>
    <t xml:space="preserve">Invoice for a member whose plan was later deleted</t>
  </si>
  <si>
    <t xml:space="preserve">Still correct (see 10.3)</t>
  </si>
  <si>
    <t xml:space="preserve">14 · Settings</t>
  </si>
  <si>
    <t xml:space="preserve">14.1</t>
  </si>
  <si>
    <t xml:space="preserve">Change gym name / address / phone, save, hard refresh</t>
  </si>
  <si>
    <t xml:space="preserve">Persisted. Then check it flowed into: invoices, the landing page, the desk display, the audit report</t>
  </si>
  <si>
    <t xml:space="preserve">14.2</t>
  </si>
  <si>
    <t xml:space="preserve">Upload a logo</t>
  </si>
  <si>
    <t xml:space="preserve">Appears on dashboard, invoice, desk display, login screens. Try a large file and a non-image file — both handled</t>
  </si>
  <si>
    <t xml:space="preserve">14.3</t>
  </si>
  <si>
    <t xml:space="preserve">Change GST settings</t>
  </si>
  <si>
    <t xml:space="preserve">Invoice and the audit report both follow</t>
  </si>
  <si>
    <t xml:space="preserve">14.4</t>
  </si>
  <si>
    <t xml:space="preserve">Fill in Legal Name / PAN / Registered Address</t>
  </si>
  <si>
    <t xml:space="preserve">Audit report picks them up instead of "Not supplied"</t>
  </si>
  <si>
    <t xml:space="preserve">14.5</t>
  </si>
  <si>
    <t xml:space="preserve">Edit the WhatsApp template, use every placeholder (`{name}`, `{appnum}`, etc.)</t>
  </si>
  <si>
    <t xml:space="preserve">All substitute correctly with real values — no literal `{appnum}` left in the sent message</t>
  </si>
  <si>
    <t xml:space="preserve">14.6</t>
  </si>
  <si>
    <t xml:space="preserve">Change reminder days</t>
  </si>
  <si>
    <t xml:space="preserve">Alerts → Expiring window changes to match</t>
  </si>
  <si>
    <t xml:space="preserve">14.7</t>
  </si>
  <si>
    <t xml:space="preserve">Change your password, log out, log in with the new one</t>
  </si>
  <si>
    <t xml:space="preserve">Works; old one rejected</t>
  </si>
  <si>
    <t xml:space="preserve">14.8</t>
  </si>
  <si>
    <t xml:space="preserve">Save a setting, then open the app on a **second device**</t>
  </si>
  <si>
    <t xml:space="preserve">The change is there</t>
  </si>
  <si>
    <t xml:space="preserve">14.9</t>
  </si>
  <si>
    <t xml:space="preserve">Enter a bad GSTIN / an obviously wrong PAN</t>
  </si>
  <si>
    <t xml:space="preserve">Either validated, or at minimum it doesn't corrupt the invoice</t>
  </si>
  <si>
    <t xml:space="preserve">15 · Backup, exports and reports</t>
  </si>
  <si>
    <t xml:space="preserve">15.1</t>
  </si>
  <si>
    <t xml:space="preserve">Export Members / Payments / Expenses reports</t>
  </si>
  <si>
    <t xml:space="preserve">Each downloads, opens in Excel, columns aligned</t>
  </si>
  <si>
    <t xml:space="preserve">15.2</t>
  </si>
  <si>
    <t xml:space="preserve">Count rows in the Members export vs the member count on screen</t>
  </si>
  <si>
    <t xml:space="preserve">Equal</t>
  </si>
  <si>
    <t xml:space="preserve">15.3</t>
  </si>
  <si>
    <t xml:space="preserve">Sum the Payments export vs Finance → All Time revenue</t>
  </si>
  <si>
    <t xml:space="preserve">Equal. If they differ, that is a finding, full stop</t>
  </si>
  <si>
    <t xml:space="preserve">15.4</t>
  </si>
  <si>
    <t xml:space="preserve">Export with a name containing a comma, quote or `#`</t>
  </si>
  <si>
    <t xml:space="preserve">Columns don't shift</t>
  </si>
  <si>
    <t xml:space="preserve">15.5</t>
  </si>
  <si>
    <t xml:space="preserve">Full Data Backup</t>
  </si>
  <si>
    <t xml:space="preserve">Downloads, non-empty, contains members + payments + expenses</t>
  </si>
  <si>
    <t xml:space="preserve">15.6</t>
  </si>
  <si>
    <t xml:space="preserve">Financial &amp; GST Audit Support Report</t>
  </si>
  <si>
    <t xml:space="preserve">Totals match Finance. Identity fields populated. No "undefined"/"Not supplied" where you filled it in</t>
  </si>
  <si>
    <t xml:space="preserve">15.7</t>
  </si>
  <si>
    <t xml:space="preserve">Do an export, then delete a member permanently, then export again</t>
  </si>
  <si>
    <t xml:space="preserve">Difference is exactly that member</t>
  </si>
  <si>
    <t xml:space="preserve">15.8</t>
  </si>
  <si>
    <t xml:space="preserve">Export when a date filter is applied</t>
  </si>
  <si>
    <t xml:space="preserve">Export honours the filter — or clearly states it doesn't</t>
  </si>
  <si>
    <t xml:space="preserve">15.9</t>
  </si>
  <si>
    <t xml:space="preserve">Backup page unreachable</t>
  </si>
  <si>
    <t xml:space="preserve">16 · Overview / dashboard / analytics</t>
  </si>
  <si>
    <t xml:space="preserve">16.1</t>
  </si>
  <si>
    <t xml:space="preserve">Every number on Overview, cross-checked against its own page</t>
  </si>
  <si>
    <t xml:space="preserve">Revenue = Finance. Members = Members list. Dues = Alerts. Expiring = Alerts</t>
  </si>
  <si>
    <t xml:space="preserve">16.2</t>
  </si>
  <si>
    <t xml:space="preserve">Click every stat card and mini-stat</t>
  </si>
  <si>
    <t xml:space="preserve">Navigates to the right page **with the right filter applied**</t>
  </si>
  <si>
    <t xml:space="preserve">16.3</t>
  </si>
  <si>
    <t xml:space="preserve">Analytics page, every chart</t>
  </si>
  <si>
    <t xml:space="preserve">Loads, no console errors, figures agree with Finance</t>
  </si>
  <si>
    <t xml:space="preserve">16.4</t>
  </si>
  <si>
    <t xml:space="preserve">Analytics with a period changed</t>
  </si>
  <si>
    <t xml:space="preserve">Charts update; totals still reconcile</t>
  </si>
  <si>
    <t xml:space="preserve">16.5</t>
  </si>
  <si>
    <t xml:space="preserve">Recent activity list</t>
  </si>
  <si>
    <t xml:space="preserve">Shows the things you actually just did, in the right order</t>
  </si>
  <si>
    <t xml:space="preserve">16.6</t>
  </si>
  <si>
    <t xml:space="preserve">Overview with zero members (or filter to an empty period)</t>
  </si>
  <si>
    <t xml:space="preserve">Empty states, not `NaN`, `undefined`, `₹NaN` or a broken chart</t>
  </si>
  <si>
    <t xml:space="preserve">16.7</t>
  </si>
  <si>
    <t xml:space="preserve">As staff 🔒 Overview</t>
  </si>
  <si>
    <t xml:space="preserve">No financial figures</t>
  </si>
  <si>
    <t xml:space="preserve">17 · Cross-cutting — run these last, they find the ugly ones</t>
  </si>
  <si>
    <t xml:space="preserve">17.1</t>
  </si>
  <si>
    <t xml:space="preserve">**The full lifecycle in one go:** enquiry → convert to member → partial payment → collect balance → renew → check in twice → generate invoice → remove permanently. After *every single step*, glance at Finance, Overview and Alerts</t>
  </si>
  <si>
    <t xml:space="preserve">Every number moves by exactly the right amount, every time</t>
  </si>
  <si>
    <t xml:space="preserve">17.2</t>
  </si>
  <si>
    <t xml:space="preserve">Browser **Back button** after every navigation: dashboard sections, modals, member portal tabs, desk display</t>
  </si>
  <si>
    <t xml:space="preserve">Goes somewhere sensible. Never a blank screen, never logged out, never stuck</t>
  </si>
  <si>
    <t xml:space="preserve">17.3</t>
  </si>
  <si>
    <t xml:space="preserve">Open two tabs, change something in tab A, refresh tab B</t>
  </si>
  <si>
    <t xml:space="preserve">Tab B shows the change</t>
  </si>
  <si>
    <t xml:space="preserve">17.4</t>
  </si>
  <si>
    <t xml:space="preserve">Leave the app open for 30+ minutes, then click something</t>
  </si>
  <si>
    <t xml:space="preserve">Still works, or asks you to log in again cleanly. Not a silent failure or a stale-token error</t>
  </si>
  <si>
    <t xml:space="preserve">17.5</t>
  </si>
  <si>
    <t xml:space="preserve">Every modal: open it, press Escape, click outside, press the X</t>
  </si>
  <si>
    <t xml:space="preserve">All three close it. Nothing left stuck on screen behind it</t>
  </si>
  <si>
    <t xml:space="preserve">17.6</t>
  </si>
  <si>
    <t xml:space="preserve">Every form: submit it **empty**</t>
  </si>
  <si>
    <t xml:space="preserve">Clear validation messages, no crash</t>
  </si>
  <si>
    <t xml:space="preserve">17.7</t>
  </si>
  <si>
    <t xml:space="preserve">Every list with a search box: search for text that matches nothing</t>
  </si>
  <si>
    <t xml:space="preserve">Clean "no results", not a blank page</t>
  </si>
  <si>
    <t xml:space="preserve">17.8</t>
  </si>
  <si>
    <t xml:space="preserve">Long member name (60+ characters) and a very long note</t>
  </si>
  <si>
    <t xml:space="preserve">No layout break in the list, modal, invoice or export</t>
  </si>
  <si>
    <t xml:space="preserve">17.9</t>
  </si>
  <si>
    <t xml:space="preserve">Phone (390px): every page, every table, every modal</t>
  </si>
  <si>
    <t xml:space="preserve">Nothing cut off, nothing needing horizontal scroll, buttons reachable, the floating + button doesn't cover anything you need</t>
  </si>
  <si>
    <t xml:space="preserve">17.10</t>
  </si>
  <si>
    <t xml:space="preserve">Anywhere a number is shown: check ₹ formatting</t>
  </si>
  <si>
    <t xml:space="preserve">Indian format (₹1,25,000), consistent everywhere, no `1.25e5`, no missing symbol</t>
  </si>
  <si>
    <t xml:space="preserve">17.11</t>
  </si>
  <si>
    <t xml:space="preserve">Check the same figure on desktop and phone</t>
  </si>
  <si>
    <t xml:space="preserve">Identical</t>
  </si>
  <si>
    <t xml:space="preserve">17.12</t>
  </si>
  <si>
    <t xml:space="preserve">Log out from the member portal, then press Back</t>
  </si>
  <si>
    <t xml:space="preserve">Cannot get back into the portal without logging in</t>
  </si>
  <si>
    <t xml:space="preserve">17.13</t>
  </si>
  <si>
    <t xml:space="preserve">While logged out, type a dashboard URL directly</t>
  </si>
  <si>
    <t xml:space="preserve">Redirected to login, not a flash of real data first</t>
  </si>
  <si>
    <t xml:space="preserve">18 · Cleanup — do not skip</t>
  </si>
  <si>
    <t xml:space="preserve">18.1</t>
  </si>
  <si>
    <t xml:space="preserve">Delete every `ZZTEST-` member, enquiry, expense, plan and staff login you created</t>
  </si>
  <si>
    <t xml:space="preserve">18.2</t>
  </si>
  <si>
    <t xml:space="preserve">Confirm Finance → All Time revenue is back to the number you recorded at the start of testing</t>
  </si>
  <si>
    <t xml:space="preserve">18.3</t>
  </si>
  <si>
    <t xml:space="preserve">Confirm the member count is back to its starting value</t>
  </si>
  <si>
    <t xml:space="preserve">18.4</t>
  </si>
  <si>
    <t xml:space="preserve">List anything you could not delete, so the developer can clean it up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</si>
</sst>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E3" s="4" t="s">
        <v>2</v>
      </c>
    </row>
    <row r="4" customFormat="false" ht="15" hidden="false" customHeight="false" outlineLevel="0" collapsed="false">
      <c r="A4" s="2" t="s">
        <v>3</v>
      </c>
      <c r="B4" s="3"/>
    </row>
    <row r="5" customFormat="false" ht="15" hidden="false" customHeight="false" outlineLevel="0" collapsed="false">
      <c r="A5" s="2" t="s">
        <v>4</v>
      </c>
      <c r="B5" s="3"/>
      <c r="E5" s="5" t="s">
        <v>5</v>
      </c>
    </row>
    <row r="6" customFormat="false" ht="15" hidden="false" customHeight="false" outlineLevel="0" collapsed="false">
      <c r="A6" s="2" t="s">
        <v>6</v>
      </c>
      <c r="B6" s="3"/>
      <c r="E6" s="5" t="s">
        <v>7</v>
      </c>
    </row>
    <row r="7" customFormat="false" ht="15" hidden="false" customHeight="false" outlineLevel="0" collapsed="false">
      <c r="A7" s="2" t="s">
        <v>8</v>
      </c>
      <c r="B7" s="3"/>
      <c r="E7" s="5" t="s">
        <v>9</v>
      </c>
    </row>
    <row r="8" customFormat="false" ht="15" hidden="false" customHeight="false" outlineLevel="0" collapsed="false">
      <c r="A8" s="2" t="s">
        <v>10</v>
      </c>
      <c r="B8" s="3"/>
      <c r="E8" s="5" t="s">
        <v>11</v>
      </c>
    </row>
    <row r="9" customFormat="false" ht="15" hidden="false" customHeight="false" outlineLevel="0" collapsed="false">
      <c r="E9" s="5" t="s">
        <v>12</v>
      </c>
    </row>
    <row r="10" customFormat="false" ht="15" hidden="false" customHeight="false" outlineLevel="0" collapsed="false">
      <c r="A10" s="4" t="s">
        <v>13</v>
      </c>
      <c r="E10" s="5" t="s">
        <v>14</v>
      </c>
    </row>
    <row r="11" customFormat="false" ht="15" hidden="false" customHeight="false" outlineLevel="0" collapsed="false">
      <c r="A11" s="2" t="s">
        <v>15</v>
      </c>
      <c r="B11" s="5" t="n">
        <f aca="false">COUNTA('Test Runs'!A2:A196)-COUNTBLANK('Test Runs'!C2:C196)</f>
        <v>176</v>
      </c>
      <c r="E11" s="5" t="s">
        <v>16</v>
      </c>
    </row>
    <row r="12" customFormat="false" ht="15" hidden="false" customHeight="false" outlineLevel="0" collapsed="false">
      <c r="A12" s="5" t="s">
        <v>17</v>
      </c>
      <c r="B12" s="5" t="n">
        <f aca="false">COUNTIF('Test Runs'!F2:F196,"Pass")</f>
        <v>0</v>
      </c>
      <c r="E12" s="5" t="s">
        <v>18</v>
      </c>
    </row>
    <row r="13" customFormat="false" ht="15" hidden="false" customHeight="false" outlineLevel="0" collapsed="false">
      <c r="A13" s="5" t="s">
        <v>19</v>
      </c>
      <c r="B13" s="5" t="n">
        <f aca="false">COUNTIF('Test Runs'!F2:F196,"Fail")</f>
        <v>0</v>
      </c>
      <c r="E13" s="5" t="s">
        <v>20</v>
      </c>
    </row>
    <row r="14" customFormat="false" ht="15" hidden="false" customHeight="false" outlineLevel="0" collapsed="false">
      <c r="A14" s="5" t="s">
        <v>21</v>
      </c>
      <c r="B14" s="5" t="n">
        <f aca="false">COUNTIF('Test Runs'!F2:F196,"Blocked")</f>
        <v>0</v>
      </c>
    </row>
    <row r="15" customFormat="false" ht="15" hidden="false" customHeight="false" outlineLevel="0" collapsed="false">
      <c r="A15" s="5" t="s">
        <v>22</v>
      </c>
      <c r="B15" s="5" t="n">
        <f aca="false">COUNTIF('Test Runs'!F2:F196,"Not tested")</f>
        <v>0</v>
      </c>
    </row>
    <row r="16" customFormat="false" ht="15" hidden="false" customHeight="false" outlineLevel="0" collapsed="false">
      <c r="A16" s="5" t="s">
        <v>23</v>
      </c>
      <c r="B16" s="5" t="n">
        <f aca="false">COUNTIF('Test Runs'!H2:H196,"Blocker")</f>
        <v>0</v>
      </c>
    </row>
    <row r="17" customFormat="false" ht="15" hidden="false" customHeight="false" outlineLevel="0" collapsed="false">
      <c r="A17" s="5" t="s">
        <v>24</v>
      </c>
      <c r="B17" s="5" t="n">
        <f aca="false">COUNTIF('Test Runs'!H2:H196,"Major")</f>
        <v>0</v>
      </c>
    </row>
    <row r="18" customFormat="false" ht="15" hidden="false" customHeight="false" outlineLevel="0" collapsed="false">
      <c r="A18" s="5" t="s">
        <v>25</v>
      </c>
      <c r="B18" s="5" t="n">
        <f aca="false">COUNTIF('Test Runs'!H2:H196,"Minor")</f>
        <v>0</v>
      </c>
    </row>
    <row r="21" customFormat="false" ht="15" hidden="false" customHeight="false" outlineLevel="0" collapsed="false">
      <c r="A21" s="4" t="s">
        <v>26</v>
      </c>
    </row>
    <row r="22" customFormat="false" ht="15" hidden="false" customHeight="false" outlineLevel="0" collapsed="false">
      <c r="A22" s="6" t="s">
        <v>27</v>
      </c>
      <c r="B22" s="6" t="s">
        <v>19</v>
      </c>
      <c r="C22" s="6" t="s">
        <v>28</v>
      </c>
    </row>
    <row r="23" customFormat="false" ht="15" hidden="false" customHeight="false" outlineLevel="0" collapsed="false">
      <c r="A23" s="5" t="s">
        <v>29</v>
      </c>
      <c r="B23" s="5" t="n">
        <f aca="false">COUNTIFS('Test Runs'!B2:B196,A23,'Test Runs'!F2:F196,"Fail")</f>
        <v>0</v>
      </c>
      <c r="C23" s="5" t="n">
        <f aca="false">COUNTIFS('Test Runs'!B2:B196,A23,'Test Runs'!H2:H196,"Blocker")+COUNTIFS('Test Runs'!B2:B196,A23,'Test Runs'!H2:H196,"Major")</f>
        <v>0</v>
      </c>
    </row>
    <row r="24" customFormat="false" ht="15" hidden="false" customHeight="false" outlineLevel="0" collapsed="false">
      <c r="A24" s="5" t="s">
        <v>30</v>
      </c>
      <c r="B24" s="5" t="n">
        <f aca="false">COUNTIFS('Test Runs'!B2:B196,A24,'Test Runs'!F2:F196,"Fail")</f>
        <v>0</v>
      </c>
      <c r="C24" s="5" t="n">
        <f aca="false">COUNTIFS('Test Runs'!B2:B196,A24,'Test Runs'!H2:H196,"Blocker")+COUNTIFS('Test Runs'!B2:B196,A24,'Test Runs'!H2:H196,"Major")</f>
        <v>0</v>
      </c>
    </row>
    <row r="25" customFormat="false" ht="15" hidden="false" customHeight="false" outlineLevel="0" collapsed="false">
      <c r="A25" s="5" t="s">
        <v>31</v>
      </c>
      <c r="B25" s="5" t="n">
        <f aca="false">COUNTIFS('Test Runs'!B2:B196,A25,'Test Runs'!F2:F196,"Fail")</f>
        <v>0</v>
      </c>
      <c r="C25" s="5" t="n">
        <f aca="false">COUNTIFS('Test Runs'!B2:B196,A25,'Test Runs'!H2:H196,"Blocker")+COUNTIFS('Test Runs'!B2:B196,A25,'Test Runs'!H2:H196,"Major")</f>
        <v>0</v>
      </c>
    </row>
    <row r="26" customFormat="false" ht="15" hidden="false" customHeight="false" outlineLevel="0" collapsed="false">
      <c r="A26" s="5" t="s">
        <v>32</v>
      </c>
      <c r="B26" s="5" t="n">
        <f aca="false">COUNTIFS('Test Runs'!B2:B196,A26,'Test Runs'!F2:F196,"Fail")</f>
        <v>0</v>
      </c>
      <c r="C26" s="5" t="n">
        <f aca="false">COUNTIFS('Test Runs'!B2:B196,A26,'Test Runs'!H2:H196,"Blocker")+COUNTIFS('Test Runs'!B2:B196,A26,'Test Runs'!H2:H196,"Major")</f>
        <v>0</v>
      </c>
    </row>
    <row r="27" customFormat="false" ht="15" hidden="false" customHeight="false" outlineLevel="0" collapsed="false">
      <c r="A27" s="5" t="s">
        <v>33</v>
      </c>
      <c r="B27" s="5" t="n">
        <f aca="false">COUNTIFS('Test Runs'!B2:B196,A27,'Test Runs'!F2:F196,"Fail")</f>
        <v>0</v>
      </c>
      <c r="C27" s="5" t="n">
        <f aca="false">COUNTIFS('Test Runs'!B2:B196,A27,'Test Runs'!H2:H196,"Blocker")+COUNTIFS('Test Runs'!B2:B196,A27,'Test Runs'!H2:H196,"Major")</f>
        <v>0</v>
      </c>
    </row>
    <row r="28" customFormat="false" ht="15" hidden="false" customHeight="false" outlineLevel="0" collapsed="false">
      <c r="A28" s="5" t="s">
        <v>34</v>
      </c>
      <c r="B28" s="5" t="n">
        <f aca="false">COUNTIFS('Test Runs'!B2:B196,A28,'Test Runs'!F2:F196,"Fail")</f>
        <v>0</v>
      </c>
      <c r="C28" s="5" t="n">
        <f aca="false">COUNTIFS('Test Runs'!B2:B196,A28,'Test Runs'!H2:H196,"Blocker")+COUNTIFS('Test Runs'!B2:B196,A28,'Test Runs'!H2:H196,"Major")</f>
        <v>0</v>
      </c>
    </row>
    <row r="29" customFormat="false" ht="15" hidden="false" customHeight="false" outlineLevel="0" collapsed="false">
      <c r="A29" s="5" t="s">
        <v>35</v>
      </c>
      <c r="B29" s="5" t="n">
        <f aca="false">COUNTIFS('Test Runs'!B2:B196,A29,'Test Runs'!F2:F196,"Fail")</f>
        <v>0</v>
      </c>
      <c r="C29" s="5" t="n">
        <f aca="false">COUNTIFS('Test Runs'!B2:B196,A29,'Test Runs'!H2:H196,"Blocker")+COUNTIFS('Test Runs'!B2:B196,A29,'Test Runs'!H2:H196,"Major")</f>
        <v>0</v>
      </c>
    </row>
    <row r="30" customFormat="false" ht="15" hidden="false" customHeight="false" outlineLevel="0" collapsed="false">
      <c r="A30" s="5" t="s">
        <v>36</v>
      </c>
      <c r="B30" s="5" t="n">
        <f aca="false">COUNTIFS('Test Runs'!B2:B196,A30,'Test Runs'!F2:F196,"Fail")</f>
        <v>0</v>
      </c>
      <c r="C30" s="5" t="n">
        <f aca="false">COUNTIFS('Test Runs'!B2:B196,A30,'Test Runs'!H2:H196,"Blocker")+COUNTIFS('Test Runs'!B2:B196,A30,'Test Runs'!H2:H196,"Major")</f>
        <v>0</v>
      </c>
    </row>
    <row r="31" customFormat="false" ht="15" hidden="false" customHeight="false" outlineLevel="0" collapsed="false">
      <c r="A31" s="5" t="s">
        <v>37</v>
      </c>
      <c r="B31" s="5" t="n">
        <f aca="false">COUNTIFS('Test Runs'!B2:B196,A31,'Test Runs'!F2:F196,"Fail")</f>
        <v>0</v>
      </c>
      <c r="C31" s="5" t="n">
        <f aca="false">COUNTIFS('Test Runs'!B2:B196,A31,'Test Runs'!H2:H196,"Blocker")+COUNTIFS('Test Runs'!B2:B196,A31,'Test Runs'!H2:H196,"Major")</f>
        <v>0</v>
      </c>
    </row>
    <row r="32" customFormat="false" ht="15" hidden="false" customHeight="false" outlineLevel="0" collapsed="false">
      <c r="A32" s="5" t="s">
        <v>38</v>
      </c>
      <c r="B32" s="5" t="n">
        <f aca="false">COUNTIFS('Test Runs'!B2:B196,A32,'Test Runs'!F2:F196,"Fail")</f>
        <v>0</v>
      </c>
      <c r="C32" s="5" t="n">
        <f aca="false">COUNTIFS('Test Runs'!B2:B196,A32,'Test Runs'!H2:H196,"Blocker")+COUNTIFS('Test Runs'!B2:B196,A32,'Test Runs'!H2:H196,"Major")</f>
        <v>0</v>
      </c>
    </row>
    <row r="33" customFormat="false" ht="15" hidden="false" customHeight="false" outlineLevel="0" collapsed="false">
      <c r="A33" s="5" t="s">
        <v>39</v>
      </c>
      <c r="B33" s="5" t="n">
        <f aca="false">COUNTIFS('Test Runs'!B2:B196,A33,'Test Runs'!F2:F196,"Fail")</f>
        <v>0</v>
      </c>
      <c r="C33" s="5" t="n">
        <f aca="false">COUNTIFS('Test Runs'!B2:B196,A33,'Test Runs'!H2:H196,"Blocker")+COUNTIFS('Test Runs'!B2:B196,A33,'Test Runs'!H2:H196,"Major")</f>
        <v>0</v>
      </c>
    </row>
    <row r="34" customFormat="false" ht="15" hidden="false" customHeight="false" outlineLevel="0" collapsed="false">
      <c r="A34" s="5" t="s">
        <v>40</v>
      </c>
      <c r="B34" s="5" t="n">
        <f aca="false">COUNTIFS('Test Runs'!B2:B196,A34,'Test Runs'!F2:F196,"Fail")</f>
        <v>0</v>
      </c>
      <c r="C34" s="5" t="n">
        <f aca="false">COUNTIFS('Test Runs'!B2:B196,A34,'Test Runs'!H2:H196,"Blocker")+COUNTIFS('Test Runs'!B2:B196,A34,'Test Runs'!H2:H196,"Major")</f>
        <v>0</v>
      </c>
    </row>
    <row r="35" customFormat="false" ht="15" hidden="false" customHeight="false" outlineLevel="0" collapsed="false">
      <c r="A35" s="5" t="s">
        <v>41</v>
      </c>
      <c r="B35" s="5" t="n">
        <f aca="false">COUNTIFS('Test Runs'!B2:B196,A35,'Test Runs'!F2:F196,"Fail")</f>
        <v>0</v>
      </c>
      <c r="C35" s="5" t="n">
        <f aca="false">COUNTIFS('Test Runs'!B2:B196,A35,'Test Runs'!H2:H196,"Blocker")+COUNTIFS('Test Runs'!B2:B196,A35,'Test Runs'!H2:H196,"Major")</f>
        <v>0</v>
      </c>
    </row>
    <row r="36" customFormat="false" ht="15" hidden="false" customHeight="false" outlineLevel="0" collapsed="false">
      <c r="A36" s="5" t="s">
        <v>42</v>
      </c>
      <c r="B36" s="5" t="n">
        <f aca="false">COUNTIFS('Test Runs'!B2:B196,A36,'Test Runs'!F2:F196,"Fail")</f>
        <v>0</v>
      </c>
      <c r="C36" s="5" t="n">
        <f aca="false">COUNTIFS('Test Runs'!B2:B196,A36,'Test Runs'!H2:H196,"Blocker")+COUNTIFS('Test Runs'!B2:B196,A36,'Test Runs'!H2:H196,"Major")</f>
        <v>0</v>
      </c>
    </row>
    <row r="37" customFormat="false" ht="15" hidden="false" customHeight="false" outlineLevel="0" collapsed="false">
      <c r="A37" s="5" t="s">
        <v>43</v>
      </c>
      <c r="B37" s="5" t="n">
        <f aca="false">COUNTIFS('Test Runs'!B2:B196,A37,'Test Runs'!F2:F196,"Fail")</f>
        <v>0</v>
      </c>
      <c r="C37" s="5" t="n">
        <f aca="false">COUNTIFS('Test Runs'!B2:B196,A37,'Test Runs'!H2:H196,"Blocker")+COUNTIFS('Test Runs'!B2:B196,A37,'Test Runs'!H2:H196,"Major")</f>
        <v>0</v>
      </c>
    </row>
    <row r="38" customFormat="false" ht="15" hidden="false" customHeight="false" outlineLevel="0" collapsed="false">
      <c r="A38" s="5" t="s">
        <v>44</v>
      </c>
      <c r="B38" s="5" t="n">
        <f aca="false">COUNTIFS('Test Runs'!B2:B196,A38,'Test Runs'!F2:F196,"Fail")</f>
        <v>0</v>
      </c>
      <c r="C38" s="5" t="n">
        <f aca="false">COUNTIFS('Test Runs'!B2:B196,A38,'Test Runs'!H2:H196,"Blocker")+COUNTIFS('Test Runs'!B2:B196,A38,'Test Runs'!H2:H196,"Major")</f>
        <v>0</v>
      </c>
    </row>
    <row r="39" customFormat="false" ht="15" hidden="false" customHeight="false" outlineLevel="0" collapsed="false">
      <c r="A39" s="5" t="s">
        <v>45</v>
      </c>
      <c r="B39" s="5" t="n">
        <f aca="false">COUNTIFS('Test Runs'!B2:B196,A39,'Test Runs'!F2:F196,"Fail")</f>
        <v>0</v>
      </c>
      <c r="C39" s="5" t="n">
        <f aca="false">COUNTIFS('Test Runs'!B2:B196,A39,'Test Runs'!H2:H196,"Blocker")+COUNTIFS('Test Runs'!B2:B196,A39,'Test Runs'!H2:H196,"Major")</f>
        <v>0</v>
      </c>
    </row>
    <row r="40" customFormat="false" ht="15" hidden="false" customHeight="false" outlineLevel="0" collapsed="false">
      <c r="A40" s="5" t="s">
        <v>46</v>
      </c>
      <c r="B40" s="5" t="n">
        <f aca="false">COUNTIFS('Test Runs'!B2:B196,A40,'Test Runs'!F2:F196,"Fail")</f>
        <v>0</v>
      </c>
      <c r="C40" s="5" t="n">
        <f aca="false">COUNTIFS('Test Runs'!B2:B196,A40,'Test Runs'!H2:H196,"Blocker")+COUNTIFS('Test Runs'!B2:B196,A40,'Test Runs'!H2:H196,"Major")</f>
        <v>0</v>
      </c>
    </row>
    <row r="41" customFormat="false" ht="15" hidden="false" customHeight="false" outlineLevel="0" collapsed="false">
      <c r="A41" s="5" t="s">
        <v>47</v>
      </c>
      <c r="B41" s="5" t="n">
        <f aca="false">COUNTIFS('Test Runs'!B2:B196,A41,'Test Runs'!F2:F196,"Fail")</f>
        <v>0</v>
      </c>
      <c r="C41" s="5" t="n">
        <f aca="false">COUNTIFS('Test Runs'!B2:B196,A41,'Test Runs'!H2:H196,"Blocker")+COUNTIFS('Test Runs'!B2:B196,A41,'Test Runs'!H2:H196,"Major")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7" min="7" style="0" width="40"/>
    <col collapsed="false" customWidth="true" hidden="false" outlineLevel="0" max="8" min="8" style="0" width="11"/>
    <col collapsed="false" customWidth="true" hidden="false" outlineLevel="0" max="10" min="9" style="0" width="12"/>
  </cols>
  <sheetData>
    <row r="1" customFormat="false" ht="15" hidden="false" customHeight="false" outlineLevel="0" collapsed="false">
      <c r="A1" s="7" t="s">
        <v>48</v>
      </c>
      <c r="B1" s="7" t="s">
        <v>27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1</v>
      </c>
      <c r="J1" s="7" t="s">
        <v>55</v>
      </c>
    </row>
    <row r="2" customFormat="false" ht="15" hidden="false" customHeight="false" outlineLevel="0" collapsed="false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23.85" hidden="false" customHeight="false" outlineLevel="0" collapsed="false">
      <c r="A3" s="9" t="s">
        <v>57</v>
      </c>
      <c r="B3" s="9" t="s">
        <v>29</v>
      </c>
      <c r="C3" s="9" t="s">
        <v>58</v>
      </c>
      <c r="D3" s="9" t="s">
        <v>59</v>
      </c>
      <c r="E3" s="9"/>
      <c r="F3" s="9"/>
      <c r="G3" s="9"/>
      <c r="H3" s="9"/>
      <c r="I3" s="9"/>
      <c r="J3" s="9"/>
    </row>
    <row r="4" customFormat="false" ht="23.85" hidden="false" customHeight="false" outlineLevel="0" collapsed="false">
      <c r="A4" s="9" t="s">
        <v>60</v>
      </c>
      <c r="B4" s="9" t="s">
        <v>29</v>
      </c>
      <c r="C4" s="9" t="s">
        <v>61</v>
      </c>
      <c r="D4" s="9" t="s">
        <v>62</v>
      </c>
      <c r="E4" s="9"/>
      <c r="F4" s="9"/>
      <c r="G4" s="9"/>
      <c r="H4" s="9"/>
      <c r="I4" s="9"/>
      <c r="J4" s="9"/>
    </row>
    <row r="5" customFormat="false" ht="23.85" hidden="false" customHeight="false" outlineLevel="0" collapsed="false">
      <c r="A5" s="9" t="s">
        <v>63</v>
      </c>
      <c r="B5" s="9" t="s">
        <v>29</v>
      </c>
      <c r="C5" s="9" t="s">
        <v>64</v>
      </c>
      <c r="D5" s="9" t="s">
        <v>65</v>
      </c>
      <c r="E5" s="9"/>
      <c r="F5" s="9"/>
      <c r="G5" s="9"/>
      <c r="H5" s="9"/>
      <c r="I5" s="9"/>
      <c r="J5" s="9"/>
    </row>
    <row r="6" customFormat="false" ht="23.85" hidden="false" customHeight="false" outlineLevel="0" collapsed="false">
      <c r="A6" s="9" t="s">
        <v>66</v>
      </c>
      <c r="B6" s="9" t="s">
        <v>29</v>
      </c>
      <c r="C6" s="9" t="s">
        <v>67</v>
      </c>
      <c r="D6" s="9" t="s">
        <v>68</v>
      </c>
      <c r="E6" s="9"/>
      <c r="F6" s="9"/>
      <c r="G6" s="9"/>
      <c r="H6" s="9"/>
      <c r="I6" s="9"/>
      <c r="J6" s="9"/>
    </row>
    <row r="7" customFormat="false" ht="15" hidden="false" customHeight="false" outlineLevel="0" collapsed="false">
      <c r="A7" s="9" t="s">
        <v>69</v>
      </c>
      <c r="B7" s="9" t="s">
        <v>29</v>
      </c>
      <c r="C7" s="9" t="s">
        <v>70</v>
      </c>
      <c r="D7" s="9" t="s">
        <v>71</v>
      </c>
      <c r="E7" s="9"/>
      <c r="F7" s="9"/>
      <c r="G7" s="9"/>
      <c r="H7" s="9"/>
      <c r="I7" s="9"/>
      <c r="J7" s="9"/>
    </row>
    <row r="8" customFormat="false" ht="15" hidden="false" customHeight="false" outlineLevel="0" collapsed="false">
      <c r="A8" s="9" t="s">
        <v>72</v>
      </c>
      <c r="B8" s="9" t="s">
        <v>29</v>
      </c>
      <c r="C8" s="9" t="s">
        <v>73</v>
      </c>
      <c r="D8" s="9" t="s">
        <v>74</v>
      </c>
      <c r="E8" s="9"/>
      <c r="F8" s="9"/>
      <c r="G8" s="9"/>
      <c r="H8" s="9"/>
      <c r="I8" s="9"/>
      <c r="J8" s="9"/>
    </row>
    <row r="9" customFormat="false" ht="15" hidden="false" customHeight="false" outlineLevel="0" collapsed="false">
      <c r="A9" s="8" t="s">
        <v>75</v>
      </c>
      <c r="B9" s="8"/>
      <c r="C9" s="8"/>
      <c r="D9" s="8"/>
      <c r="E9" s="8"/>
      <c r="F9" s="8"/>
      <c r="G9" s="8"/>
      <c r="H9" s="8"/>
      <c r="I9" s="8"/>
      <c r="J9" s="8"/>
    </row>
    <row r="10" customFormat="false" ht="35.05" hidden="false" customHeight="false" outlineLevel="0" collapsed="false">
      <c r="A10" s="9" t="s">
        <v>76</v>
      </c>
      <c r="B10" s="9" t="s">
        <v>30</v>
      </c>
      <c r="C10" s="9" t="s">
        <v>77</v>
      </c>
      <c r="D10" s="9" t="s">
        <v>78</v>
      </c>
      <c r="E10" s="9" t="s">
        <v>79</v>
      </c>
      <c r="F10" s="9"/>
      <c r="G10" s="9"/>
      <c r="H10" s="9"/>
      <c r="I10" s="9"/>
      <c r="J10" s="9"/>
    </row>
    <row r="11" customFormat="false" ht="15" hidden="false" customHeight="false" outlineLevel="0" collapsed="false">
      <c r="A11" s="9" t="s">
        <v>80</v>
      </c>
      <c r="B11" s="9" t="s">
        <v>30</v>
      </c>
      <c r="C11" s="9" t="s">
        <v>81</v>
      </c>
      <c r="D11" s="9" t="s">
        <v>82</v>
      </c>
      <c r="E11" s="9"/>
      <c r="F11" s="9"/>
      <c r="G11" s="9"/>
      <c r="H11" s="9"/>
      <c r="I11" s="9"/>
      <c r="J11" s="9"/>
    </row>
    <row r="12" customFormat="false" ht="23.85" hidden="false" customHeight="false" outlineLevel="0" collapsed="false">
      <c r="A12" s="9" t="s">
        <v>83</v>
      </c>
      <c r="B12" s="9" t="s">
        <v>30</v>
      </c>
      <c r="C12" s="9" t="s">
        <v>84</v>
      </c>
      <c r="D12" s="9" t="s">
        <v>85</v>
      </c>
      <c r="E12" s="9" t="s">
        <v>86</v>
      </c>
      <c r="F12" s="9"/>
      <c r="G12" s="9"/>
      <c r="H12" s="9"/>
      <c r="I12" s="9"/>
      <c r="J12" s="9"/>
    </row>
    <row r="13" customFormat="false" ht="23.85" hidden="false" customHeight="false" outlineLevel="0" collapsed="false">
      <c r="A13" s="9" t="s">
        <v>87</v>
      </c>
      <c r="B13" s="9" t="s">
        <v>30</v>
      </c>
      <c r="C13" s="9" t="s">
        <v>88</v>
      </c>
      <c r="D13" s="9" t="s">
        <v>89</v>
      </c>
      <c r="E13" s="9" t="s">
        <v>90</v>
      </c>
      <c r="F13" s="9"/>
      <c r="G13" s="9"/>
      <c r="H13" s="9"/>
      <c r="I13" s="9"/>
      <c r="J13" s="9"/>
    </row>
    <row r="14" customFormat="false" ht="15" hidden="false" customHeight="false" outlineLevel="0" collapsed="false">
      <c r="A14" s="9" t="s">
        <v>91</v>
      </c>
      <c r="B14" s="9" t="s">
        <v>30</v>
      </c>
      <c r="C14" s="9" t="s">
        <v>92</v>
      </c>
      <c r="D14" s="9" t="s">
        <v>93</v>
      </c>
      <c r="E14" s="9"/>
      <c r="F14" s="9"/>
      <c r="G14" s="9"/>
      <c r="H14" s="9"/>
      <c r="I14" s="9"/>
      <c r="J14" s="9"/>
    </row>
    <row r="15" customFormat="false" ht="23.85" hidden="false" customHeight="false" outlineLevel="0" collapsed="false">
      <c r="A15" s="9" t="s">
        <v>94</v>
      </c>
      <c r="B15" s="9" t="s">
        <v>30</v>
      </c>
      <c r="C15" s="9" t="s">
        <v>95</v>
      </c>
      <c r="D15" s="9" t="s">
        <v>96</v>
      </c>
      <c r="E15" s="9" t="s">
        <v>97</v>
      </c>
      <c r="F15" s="9"/>
      <c r="G15" s="9"/>
      <c r="H15" s="9"/>
      <c r="I15" s="9"/>
      <c r="J15" s="9"/>
    </row>
    <row r="16" customFormat="false" ht="15" hidden="false" customHeight="false" outlineLevel="0" collapsed="false">
      <c r="A16" s="9" t="s">
        <v>98</v>
      </c>
      <c r="B16" s="9" t="s">
        <v>30</v>
      </c>
      <c r="C16" s="9" t="s">
        <v>99</v>
      </c>
      <c r="D16" s="9" t="s">
        <v>100</v>
      </c>
      <c r="E16" s="9" t="s">
        <v>101</v>
      </c>
      <c r="F16" s="9"/>
      <c r="G16" s="9"/>
      <c r="H16" s="9"/>
      <c r="I16" s="9"/>
      <c r="J16" s="9"/>
    </row>
    <row r="17" customFormat="false" ht="15" hidden="false" customHeight="false" outlineLevel="0" collapsed="false">
      <c r="A17" s="9" t="s">
        <v>102</v>
      </c>
      <c r="B17" s="9" t="s">
        <v>30</v>
      </c>
      <c r="C17" s="9" t="s">
        <v>103</v>
      </c>
      <c r="D17" s="9" t="s">
        <v>104</v>
      </c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9" t="s">
        <v>105</v>
      </c>
      <c r="B18" s="9" t="s">
        <v>30</v>
      </c>
      <c r="C18" s="9" t="s">
        <v>106</v>
      </c>
      <c r="D18" s="9" t="s">
        <v>107</v>
      </c>
      <c r="E18" s="9"/>
      <c r="F18" s="9"/>
      <c r="G18" s="9"/>
      <c r="H18" s="9"/>
      <c r="I18" s="9"/>
      <c r="J18" s="9"/>
    </row>
    <row r="19" customFormat="false" ht="46.25" hidden="false" customHeight="false" outlineLevel="0" collapsed="false">
      <c r="A19" s="9" t="s">
        <v>108</v>
      </c>
      <c r="B19" s="9" t="s">
        <v>30</v>
      </c>
      <c r="C19" s="9" t="s">
        <v>109</v>
      </c>
      <c r="D19" s="9" t="s">
        <v>110</v>
      </c>
      <c r="E19" s="9" t="s">
        <v>111</v>
      </c>
      <c r="F19" s="9"/>
      <c r="G19" s="9"/>
      <c r="H19" s="9"/>
      <c r="I19" s="9"/>
      <c r="J19" s="9"/>
    </row>
    <row r="20" customFormat="false" ht="23.85" hidden="false" customHeight="false" outlineLevel="0" collapsed="false">
      <c r="A20" s="9" t="s">
        <v>112</v>
      </c>
      <c r="B20" s="9" t="s">
        <v>30</v>
      </c>
      <c r="C20" s="9" t="s">
        <v>113</v>
      </c>
      <c r="D20" s="9" t="s">
        <v>114</v>
      </c>
      <c r="E20" s="9"/>
      <c r="F20" s="9"/>
      <c r="G20" s="9"/>
      <c r="H20" s="9"/>
      <c r="I20" s="9"/>
      <c r="J20" s="9"/>
    </row>
    <row r="21" customFormat="false" ht="23.85" hidden="false" customHeight="false" outlineLevel="0" collapsed="false">
      <c r="A21" s="9" t="s">
        <v>115</v>
      </c>
      <c r="B21" s="9" t="s">
        <v>30</v>
      </c>
      <c r="C21" s="9" t="s">
        <v>116</v>
      </c>
      <c r="D21" s="9" t="s">
        <v>117</v>
      </c>
      <c r="E21" s="9"/>
      <c r="F21" s="9"/>
      <c r="G21" s="9"/>
      <c r="H21" s="9"/>
      <c r="I21" s="9"/>
      <c r="J21" s="9"/>
    </row>
    <row r="22" customFormat="false" ht="35.05" hidden="false" customHeight="false" outlineLevel="0" collapsed="false">
      <c r="A22" s="9" t="s">
        <v>118</v>
      </c>
      <c r="B22" s="9" t="s">
        <v>30</v>
      </c>
      <c r="C22" s="9" t="s">
        <v>119</v>
      </c>
      <c r="D22" s="9" t="s">
        <v>120</v>
      </c>
      <c r="E22" s="9"/>
      <c r="F22" s="9"/>
      <c r="G22" s="9"/>
      <c r="H22" s="9"/>
      <c r="I22" s="9"/>
      <c r="J22" s="9"/>
    </row>
    <row r="23" customFormat="false" ht="23.85" hidden="false" customHeight="false" outlineLevel="0" collapsed="false">
      <c r="A23" s="9" t="s">
        <v>121</v>
      </c>
      <c r="B23" s="9" t="s">
        <v>30</v>
      </c>
      <c r="C23" s="9" t="s">
        <v>122</v>
      </c>
      <c r="D23" s="9" t="s">
        <v>123</v>
      </c>
      <c r="E23" s="9"/>
      <c r="F23" s="9"/>
      <c r="G23" s="9"/>
      <c r="H23" s="9"/>
      <c r="I23" s="9"/>
      <c r="J23" s="9"/>
    </row>
    <row r="24" customFormat="false" ht="35.05" hidden="false" customHeight="false" outlineLevel="0" collapsed="false">
      <c r="A24" s="9" t="s">
        <v>124</v>
      </c>
      <c r="B24" s="9" t="s">
        <v>30</v>
      </c>
      <c r="C24" s="9" t="s">
        <v>125</v>
      </c>
      <c r="D24" s="9" t="s">
        <v>126</v>
      </c>
      <c r="E24" s="9" t="s">
        <v>127</v>
      </c>
      <c r="F24" s="9"/>
      <c r="G24" s="9"/>
      <c r="H24" s="9"/>
      <c r="I24" s="9"/>
      <c r="J24" s="9"/>
    </row>
    <row r="25" customFormat="false" ht="15" hidden="false" customHeight="false" outlineLevel="0" collapsed="false">
      <c r="A25" s="8" t="s">
        <v>128</v>
      </c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9" t="s">
        <v>129</v>
      </c>
      <c r="B26" s="9" t="s">
        <v>31</v>
      </c>
      <c r="C26" s="9" t="s">
        <v>130</v>
      </c>
      <c r="D26" s="9" t="s">
        <v>131</v>
      </c>
      <c r="E26" s="9"/>
      <c r="F26" s="9"/>
      <c r="G26" s="9"/>
      <c r="H26" s="9"/>
      <c r="I26" s="9"/>
      <c r="J26" s="9"/>
    </row>
    <row r="27" customFormat="false" ht="15" hidden="false" customHeight="false" outlineLevel="0" collapsed="false">
      <c r="A27" s="9" t="s">
        <v>132</v>
      </c>
      <c r="B27" s="9" t="s">
        <v>31</v>
      </c>
      <c r="C27" s="9" t="s">
        <v>133</v>
      </c>
      <c r="D27" s="9" t="s">
        <v>134</v>
      </c>
      <c r="E27" s="9"/>
      <c r="F27" s="9"/>
      <c r="G27" s="9"/>
      <c r="H27" s="9"/>
      <c r="I27" s="9"/>
      <c r="J27" s="9"/>
    </row>
    <row r="28" customFormat="false" ht="23.85" hidden="false" customHeight="false" outlineLevel="0" collapsed="false">
      <c r="A28" s="9" t="s">
        <v>135</v>
      </c>
      <c r="B28" s="9" t="s">
        <v>31</v>
      </c>
      <c r="C28" s="9" t="s">
        <v>136</v>
      </c>
      <c r="D28" s="9" t="s">
        <v>137</v>
      </c>
      <c r="E28" s="9"/>
      <c r="F28" s="9"/>
      <c r="G28" s="9"/>
      <c r="H28" s="9"/>
      <c r="I28" s="9"/>
      <c r="J28" s="9"/>
    </row>
    <row r="29" customFormat="false" ht="23.85" hidden="false" customHeight="false" outlineLevel="0" collapsed="false">
      <c r="A29" s="9" t="s">
        <v>138</v>
      </c>
      <c r="B29" s="9" t="s">
        <v>31</v>
      </c>
      <c r="C29" s="9" t="s">
        <v>139</v>
      </c>
      <c r="D29" s="9" t="s">
        <v>140</v>
      </c>
      <c r="E29" s="9"/>
      <c r="F29" s="9"/>
      <c r="G29" s="9"/>
      <c r="H29" s="9"/>
      <c r="I29" s="9"/>
      <c r="J29" s="9"/>
    </row>
    <row r="30" customFormat="false" ht="15" hidden="false" customHeight="false" outlineLevel="0" collapsed="false">
      <c r="A30" s="9" t="s">
        <v>141</v>
      </c>
      <c r="B30" s="9" t="s">
        <v>31</v>
      </c>
      <c r="C30" s="9" t="s">
        <v>142</v>
      </c>
      <c r="D30" s="9" t="s">
        <v>143</v>
      </c>
      <c r="E30" s="9"/>
      <c r="F30" s="9"/>
      <c r="G30" s="9"/>
      <c r="H30" s="9"/>
      <c r="I30" s="9"/>
      <c r="J30" s="9"/>
    </row>
    <row r="31" customFormat="false" ht="23.85" hidden="false" customHeight="false" outlineLevel="0" collapsed="false">
      <c r="A31" s="9" t="s">
        <v>144</v>
      </c>
      <c r="B31" s="9" t="s">
        <v>31</v>
      </c>
      <c r="C31" s="9" t="s">
        <v>145</v>
      </c>
      <c r="D31" s="9" t="s">
        <v>146</v>
      </c>
      <c r="E31" s="9"/>
      <c r="F31" s="9"/>
      <c r="G31" s="9"/>
      <c r="H31" s="9"/>
      <c r="I31" s="9"/>
      <c r="J31" s="9"/>
    </row>
    <row r="32" customFormat="false" ht="15" hidden="false" customHeight="false" outlineLevel="0" collapsed="false">
      <c r="A32" s="9" t="s">
        <v>147</v>
      </c>
      <c r="B32" s="9" t="s">
        <v>31</v>
      </c>
      <c r="C32" s="9" t="s">
        <v>148</v>
      </c>
      <c r="D32" s="9" t="s">
        <v>149</v>
      </c>
      <c r="E32" s="9"/>
      <c r="F32" s="9"/>
      <c r="G32" s="9"/>
      <c r="H32" s="9"/>
      <c r="I32" s="9"/>
      <c r="J32" s="9"/>
    </row>
    <row r="33" customFormat="false" ht="46.25" hidden="false" customHeight="false" outlineLevel="0" collapsed="false">
      <c r="A33" s="9" t="s">
        <v>150</v>
      </c>
      <c r="B33" s="9" t="s">
        <v>31</v>
      </c>
      <c r="C33" s="9" t="s">
        <v>151</v>
      </c>
      <c r="D33" s="9" t="s">
        <v>152</v>
      </c>
      <c r="E33" s="9"/>
      <c r="F33" s="9"/>
      <c r="G33" s="9"/>
      <c r="H33" s="9"/>
      <c r="I33" s="9"/>
      <c r="J33" s="9"/>
    </row>
    <row r="34" customFormat="false" ht="35.05" hidden="false" customHeight="false" outlineLevel="0" collapsed="false">
      <c r="A34" s="9" t="s">
        <v>153</v>
      </c>
      <c r="B34" s="9" t="s">
        <v>31</v>
      </c>
      <c r="C34" s="9" t="s">
        <v>154</v>
      </c>
      <c r="D34" s="9" t="s">
        <v>155</v>
      </c>
      <c r="E34" s="9"/>
      <c r="F34" s="9"/>
      <c r="G34" s="9"/>
      <c r="H34" s="9"/>
      <c r="I34" s="9"/>
      <c r="J34" s="9"/>
    </row>
    <row r="35" customFormat="false" ht="15" hidden="false" customHeight="false" outlineLevel="0" collapsed="false">
      <c r="A35" s="9" t="s">
        <v>156</v>
      </c>
      <c r="B35" s="9" t="s">
        <v>31</v>
      </c>
      <c r="C35" s="9" t="s">
        <v>157</v>
      </c>
      <c r="D35" s="9" t="s">
        <v>158</v>
      </c>
      <c r="E35" s="9"/>
      <c r="F35" s="9"/>
      <c r="G35" s="9"/>
      <c r="H35" s="9"/>
      <c r="I35" s="9"/>
      <c r="J35" s="9"/>
    </row>
    <row r="36" customFormat="false" ht="23.85" hidden="false" customHeight="false" outlineLevel="0" collapsed="false">
      <c r="A36" s="9" t="s">
        <v>159</v>
      </c>
      <c r="B36" s="9" t="s">
        <v>31</v>
      </c>
      <c r="C36" s="9" t="s">
        <v>160</v>
      </c>
      <c r="D36" s="9" t="s">
        <v>161</v>
      </c>
      <c r="E36" s="9"/>
      <c r="F36" s="9"/>
      <c r="G36" s="9"/>
      <c r="H36" s="9"/>
      <c r="I36" s="9"/>
      <c r="J36" s="9"/>
    </row>
    <row r="37" customFormat="false" ht="23.85" hidden="false" customHeight="false" outlineLevel="0" collapsed="false">
      <c r="A37" s="9" t="s">
        <v>162</v>
      </c>
      <c r="B37" s="9" t="s">
        <v>31</v>
      </c>
      <c r="C37" s="9" t="s">
        <v>163</v>
      </c>
      <c r="D37" s="9" t="s">
        <v>164</v>
      </c>
      <c r="E37" s="9"/>
      <c r="F37" s="9"/>
      <c r="G37" s="9"/>
      <c r="H37" s="9"/>
      <c r="I37" s="9"/>
      <c r="J37" s="9"/>
    </row>
    <row r="38" customFormat="false" ht="23.85" hidden="false" customHeight="false" outlineLevel="0" collapsed="false">
      <c r="A38" s="9" t="s">
        <v>165</v>
      </c>
      <c r="B38" s="9" t="s">
        <v>31</v>
      </c>
      <c r="C38" s="9" t="s">
        <v>166</v>
      </c>
      <c r="D38" s="9" t="s">
        <v>167</v>
      </c>
      <c r="E38" s="9"/>
      <c r="F38" s="9"/>
      <c r="G38" s="9"/>
      <c r="H38" s="9"/>
      <c r="I38" s="9"/>
      <c r="J38" s="9"/>
    </row>
    <row r="39" customFormat="false" ht="35.05" hidden="false" customHeight="false" outlineLevel="0" collapsed="false">
      <c r="A39" s="9" t="s">
        <v>168</v>
      </c>
      <c r="B39" s="9" t="s">
        <v>31</v>
      </c>
      <c r="C39" s="9" t="s">
        <v>169</v>
      </c>
      <c r="D39" s="9" t="s">
        <v>170</v>
      </c>
      <c r="E39" s="9"/>
      <c r="F39" s="9"/>
      <c r="G39" s="9"/>
      <c r="H39" s="9"/>
      <c r="I39" s="9"/>
      <c r="J39" s="9"/>
    </row>
    <row r="40" customFormat="false" ht="23.85" hidden="false" customHeight="false" outlineLevel="0" collapsed="false">
      <c r="A40" s="9" t="s">
        <v>171</v>
      </c>
      <c r="B40" s="9" t="s">
        <v>31</v>
      </c>
      <c r="C40" s="9" t="s">
        <v>172</v>
      </c>
      <c r="D40" s="9" t="s">
        <v>173</v>
      </c>
      <c r="E40" s="9"/>
      <c r="F40" s="9"/>
      <c r="G40" s="9"/>
      <c r="H40" s="9"/>
      <c r="I40" s="9"/>
      <c r="J40" s="9"/>
    </row>
    <row r="41" customFormat="false" ht="23.85" hidden="false" customHeight="false" outlineLevel="0" collapsed="false">
      <c r="A41" s="9" t="s">
        <v>174</v>
      </c>
      <c r="B41" s="9" t="s">
        <v>31</v>
      </c>
      <c r="C41" s="9" t="s">
        <v>175</v>
      </c>
      <c r="D41" s="9" t="s">
        <v>176</v>
      </c>
      <c r="E41" s="9"/>
      <c r="F41" s="9"/>
      <c r="G41" s="9"/>
      <c r="H41" s="9"/>
      <c r="I41" s="9"/>
      <c r="J41" s="9"/>
    </row>
    <row r="42" customFormat="false" ht="15" hidden="false" customHeight="false" outlineLevel="0" collapsed="false">
      <c r="A42" s="9" t="s">
        <v>177</v>
      </c>
      <c r="B42" s="9" t="s">
        <v>31</v>
      </c>
      <c r="C42" s="9" t="s">
        <v>178</v>
      </c>
      <c r="D42" s="9" t="s">
        <v>179</v>
      </c>
      <c r="E42" s="9"/>
      <c r="F42" s="9"/>
      <c r="G42" s="9"/>
      <c r="H42" s="9"/>
      <c r="I42" s="9"/>
      <c r="J42" s="9"/>
    </row>
    <row r="43" customFormat="false" ht="23.85" hidden="false" customHeight="false" outlineLevel="0" collapsed="false">
      <c r="A43" s="9" t="s">
        <v>180</v>
      </c>
      <c r="B43" s="9" t="s">
        <v>31</v>
      </c>
      <c r="C43" s="9" t="s">
        <v>181</v>
      </c>
      <c r="D43" s="9" t="s">
        <v>182</v>
      </c>
      <c r="E43" s="9"/>
      <c r="F43" s="9"/>
      <c r="G43" s="9"/>
      <c r="H43" s="9"/>
      <c r="I43" s="9"/>
      <c r="J43" s="9"/>
    </row>
    <row r="44" customFormat="false" ht="35.05" hidden="false" customHeight="false" outlineLevel="0" collapsed="false">
      <c r="A44" s="9" t="s">
        <v>183</v>
      </c>
      <c r="B44" s="9" t="s">
        <v>31</v>
      </c>
      <c r="C44" s="9" t="s">
        <v>184</v>
      </c>
      <c r="D44" s="9" t="s">
        <v>185</v>
      </c>
      <c r="E44" s="9"/>
      <c r="F44" s="9"/>
      <c r="G44" s="9"/>
      <c r="H44" s="9"/>
      <c r="I44" s="9"/>
      <c r="J44" s="9"/>
    </row>
    <row r="45" customFormat="false" ht="15" hidden="false" customHeight="false" outlineLevel="0" collapsed="false">
      <c r="A45" s="8" t="s">
        <v>186</v>
      </c>
      <c r="B45" s="8"/>
      <c r="C45" s="8"/>
      <c r="D45" s="8"/>
      <c r="E45" s="8"/>
      <c r="F45" s="8"/>
      <c r="G45" s="8"/>
      <c r="H45" s="8"/>
      <c r="I45" s="8"/>
      <c r="J45" s="8"/>
    </row>
    <row r="46" customFormat="false" ht="23.85" hidden="false" customHeight="false" outlineLevel="0" collapsed="false">
      <c r="A46" s="9" t="s">
        <v>187</v>
      </c>
      <c r="B46" s="9" t="s">
        <v>32</v>
      </c>
      <c r="C46" s="9" t="s">
        <v>188</v>
      </c>
      <c r="D46" s="9"/>
      <c r="E46" s="9"/>
      <c r="F46" s="9"/>
      <c r="G46" s="9"/>
      <c r="H46" s="9"/>
      <c r="I46" s="9"/>
      <c r="J46" s="9"/>
    </row>
    <row r="47" customFormat="false" ht="23.85" hidden="false" customHeight="false" outlineLevel="0" collapsed="false">
      <c r="A47" s="9" t="s">
        <v>189</v>
      </c>
      <c r="B47" s="9" t="s">
        <v>32</v>
      </c>
      <c r="C47" s="9" t="s">
        <v>190</v>
      </c>
      <c r="D47" s="9" t="s">
        <v>191</v>
      </c>
      <c r="E47" s="9"/>
      <c r="F47" s="9"/>
      <c r="G47" s="9"/>
      <c r="H47" s="9"/>
      <c r="I47" s="9"/>
      <c r="J47" s="9"/>
    </row>
    <row r="48" customFormat="false" ht="35.05" hidden="false" customHeight="false" outlineLevel="0" collapsed="false">
      <c r="A48" s="9" t="s">
        <v>192</v>
      </c>
      <c r="B48" s="9" t="s">
        <v>32</v>
      </c>
      <c r="C48" s="9" t="s">
        <v>193</v>
      </c>
      <c r="D48" s="9" t="s">
        <v>194</v>
      </c>
      <c r="E48" s="9"/>
      <c r="F48" s="9"/>
      <c r="G48" s="9"/>
      <c r="H48" s="9"/>
      <c r="I48" s="9"/>
      <c r="J48" s="9"/>
    </row>
    <row r="49" customFormat="false" ht="23.85" hidden="false" customHeight="false" outlineLevel="0" collapsed="false">
      <c r="A49" s="9" t="s">
        <v>195</v>
      </c>
      <c r="B49" s="9" t="s">
        <v>32</v>
      </c>
      <c r="C49" s="9" t="s">
        <v>196</v>
      </c>
      <c r="D49" s="9" t="s">
        <v>197</v>
      </c>
      <c r="E49" s="9"/>
      <c r="F49" s="9"/>
      <c r="G49" s="9"/>
      <c r="H49" s="9"/>
      <c r="I49" s="9"/>
      <c r="J49" s="9"/>
    </row>
    <row r="50" customFormat="false" ht="15" hidden="false" customHeight="false" outlineLevel="0" collapsed="false">
      <c r="A50" s="9" t="s">
        <v>198</v>
      </c>
      <c r="B50" s="9" t="s">
        <v>32</v>
      </c>
      <c r="C50" s="9" t="s">
        <v>199</v>
      </c>
      <c r="D50" s="9" t="s">
        <v>200</v>
      </c>
      <c r="E50" s="9"/>
      <c r="F50" s="9"/>
      <c r="G50" s="9"/>
      <c r="H50" s="9"/>
      <c r="I50" s="9"/>
      <c r="J50" s="9"/>
    </row>
    <row r="51" customFormat="false" ht="35.05" hidden="false" customHeight="false" outlineLevel="0" collapsed="false">
      <c r="A51" s="9" t="s">
        <v>201</v>
      </c>
      <c r="B51" s="9" t="s">
        <v>32</v>
      </c>
      <c r="C51" s="9" t="s">
        <v>202</v>
      </c>
      <c r="D51" s="9" t="s">
        <v>203</v>
      </c>
      <c r="E51" s="9"/>
      <c r="F51" s="9"/>
      <c r="G51" s="9"/>
      <c r="H51" s="9"/>
      <c r="I51" s="9"/>
      <c r="J51" s="9"/>
    </row>
    <row r="52" customFormat="false" ht="35.05" hidden="false" customHeight="false" outlineLevel="0" collapsed="false">
      <c r="A52" s="9" t="s">
        <v>204</v>
      </c>
      <c r="B52" s="9" t="s">
        <v>32</v>
      </c>
      <c r="C52" s="9" t="s">
        <v>205</v>
      </c>
      <c r="D52" s="9" t="s">
        <v>206</v>
      </c>
      <c r="E52" s="9"/>
      <c r="F52" s="9"/>
      <c r="G52" s="9"/>
      <c r="H52" s="9"/>
      <c r="I52" s="9"/>
      <c r="J52" s="9"/>
    </row>
    <row r="53" customFormat="false" ht="23.85" hidden="false" customHeight="false" outlineLevel="0" collapsed="false">
      <c r="A53" s="9" t="s">
        <v>207</v>
      </c>
      <c r="B53" s="9" t="s">
        <v>32</v>
      </c>
      <c r="C53" s="9" t="s">
        <v>208</v>
      </c>
      <c r="D53" s="9" t="s">
        <v>209</v>
      </c>
      <c r="E53" s="9"/>
      <c r="F53" s="9"/>
      <c r="G53" s="9"/>
      <c r="H53" s="9"/>
      <c r="I53" s="9"/>
      <c r="J53" s="9"/>
    </row>
    <row r="54" customFormat="false" ht="23.85" hidden="false" customHeight="false" outlineLevel="0" collapsed="false">
      <c r="A54" s="9" t="s">
        <v>210</v>
      </c>
      <c r="B54" s="9" t="s">
        <v>32</v>
      </c>
      <c r="C54" s="9" t="s">
        <v>211</v>
      </c>
      <c r="D54" s="9" t="s">
        <v>212</v>
      </c>
      <c r="E54" s="9"/>
      <c r="F54" s="9"/>
      <c r="G54" s="9"/>
      <c r="H54" s="9"/>
      <c r="I54" s="9"/>
      <c r="J54" s="9"/>
    </row>
    <row r="55" customFormat="false" ht="23.85" hidden="false" customHeight="false" outlineLevel="0" collapsed="false">
      <c r="A55" s="9" t="s">
        <v>213</v>
      </c>
      <c r="B55" s="9" t="s">
        <v>32</v>
      </c>
      <c r="C55" s="9" t="s">
        <v>214</v>
      </c>
      <c r="D55" s="9" t="s">
        <v>215</v>
      </c>
      <c r="E55" s="9"/>
      <c r="F55" s="9"/>
      <c r="G55" s="9"/>
      <c r="H55" s="9"/>
      <c r="I55" s="9"/>
      <c r="J55" s="9"/>
    </row>
    <row r="56" customFormat="false" ht="15" hidden="false" customHeight="false" outlineLevel="0" collapsed="false">
      <c r="A56" s="8" t="s">
        <v>216</v>
      </c>
      <c r="B56" s="8"/>
      <c r="C56" s="8"/>
      <c r="D56" s="8"/>
      <c r="E56" s="8"/>
      <c r="F56" s="8"/>
      <c r="G56" s="8"/>
      <c r="H56" s="8"/>
      <c r="I56" s="8"/>
      <c r="J56" s="8"/>
    </row>
    <row r="57" customFormat="false" ht="35.05" hidden="false" customHeight="false" outlineLevel="0" collapsed="false">
      <c r="A57" s="9" t="s">
        <v>217</v>
      </c>
      <c r="B57" s="9" t="s">
        <v>33</v>
      </c>
      <c r="C57" s="9" t="s">
        <v>218</v>
      </c>
      <c r="D57" s="9" t="s">
        <v>219</v>
      </c>
      <c r="E57" s="9"/>
      <c r="F57" s="9"/>
      <c r="G57" s="9"/>
      <c r="H57" s="9"/>
      <c r="I57" s="9"/>
      <c r="J57" s="9"/>
    </row>
    <row r="58" customFormat="false" ht="35.05" hidden="false" customHeight="false" outlineLevel="0" collapsed="false">
      <c r="A58" s="9" t="s">
        <v>220</v>
      </c>
      <c r="B58" s="9" t="s">
        <v>33</v>
      </c>
      <c r="C58" s="9" t="s">
        <v>221</v>
      </c>
      <c r="D58" s="9" t="s">
        <v>222</v>
      </c>
      <c r="E58" s="9"/>
      <c r="F58" s="9"/>
      <c r="G58" s="9"/>
      <c r="H58" s="9"/>
      <c r="I58" s="9"/>
      <c r="J58" s="9"/>
    </row>
    <row r="59" customFormat="false" ht="23.85" hidden="false" customHeight="false" outlineLevel="0" collapsed="false">
      <c r="A59" s="9" t="s">
        <v>223</v>
      </c>
      <c r="B59" s="9" t="s">
        <v>33</v>
      </c>
      <c r="C59" s="9" t="s">
        <v>224</v>
      </c>
      <c r="D59" s="9" t="s">
        <v>225</v>
      </c>
      <c r="E59" s="9"/>
      <c r="F59" s="9"/>
      <c r="G59" s="9"/>
      <c r="H59" s="9"/>
      <c r="I59" s="9"/>
      <c r="J59" s="9"/>
    </row>
    <row r="60" customFormat="false" ht="15" hidden="false" customHeight="false" outlineLevel="0" collapsed="false">
      <c r="A60" s="9" t="s">
        <v>226</v>
      </c>
      <c r="B60" s="9" t="s">
        <v>33</v>
      </c>
      <c r="C60" s="9" t="s">
        <v>227</v>
      </c>
      <c r="D60" s="9" t="s">
        <v>228</v>
      </c>
      <c r="E60" s="9"/>
      <c r="F60" s="9"/>
      <c r="G60" s="9"/>
      <c r="H60" s="9"/>
      <c r="I60" s="9"/>
      <c r="J60" s="9"/>
    </row>
    <row r="61" customFormat="false" ht="23.85" hidden="false" customHeight="false" outlineLevel="0" collapsed="false">
      <c r="A61" s="9" t="s">
        <v>229</v>
      </c>
      <c r="B61" s="9" t="s">
        <v>33</v>
      </c>
      <c r="C61" s="9" t="s">
        <v>230</v>
      </c>
      <c r="D61" s="9" t="s">
        <v>231</v>
      </c>
      <c r="E61" s="9"/>
      <c r="F61" s="9"/>
      <c r="G61" s="9"/>
      <c r="H61" s="9"/>
      <c r="I61" s="9"/>
      <c r="J61" s="9"/>
    </row>
    <row r="62" customFormat="false" ht="15" hidden="false" customHeight="false" outlineLevel="0" collapsed="false">
      <c r="A62" s="9" t="s">
        <v>232</v>
      </c>
      <c r="B62" s="9" t="s">
        <v>33</v>
      </c>
      <c r="C62" s="9" t="s">
        <v>233</v>
      </c>
      <c r="D62" s="9" t="s">
        <v>234</v>
      </c>
      <c r="E62" s="9"/>
      <c r="F62" s="9"/>
      <c r="G62" s="9"/>
      <c r="H62" s="9"/>
      <c r="I62" s="9"/>
      <c r="J62" s="9"/>
    </row>
    <row r="63" customFormat="false" ht="23.85" hidden="false" customHeight="false" outlineLevel="0" collapsed="false">
      <c r="A63" s="9" t="s">
        <v>235</v>
      </c>
      <c r="B63" s="9" t="s">
        <v>33</v>
      </c>
      <c r="C63" s="9" t="s">
        <v>236</v>
      </c>
      <c r="D63" s="9" t="s">
        <v>237</v>
      </c>
      <c r="E63" s="9"/>
      <c r="F63" s="9"/>
      <c r="G63" s="9"/>
      <c r="H63" s="9"/>
      <c r="I63" s="9"/>
      <c r="J63" s="9"/>
    </row>
    <row r="64" customFormat="false" ht="23.85" hidden="false" customHeight="false" outlineLevel="0" collapsed="false">
      <c r="A64" s="9" t="s">
        <v>238</v>
      </c>
      <c r="B64" s="9" t="s">
        <v>33</v>
      </c>
      <c r="C64" s="9" t="s">
        <v>239</v>
      </c>
      <c r="D64" s="9" t="s">
        <v>240</v>
      </c>
      <c r="E64" s="9"/>
      <c r="F64" s="9"/>
      <c r="G64" s="9"/>
      <c r="H64" s="9"/>
      <c r="I64" s="9"/>
      <c r="J64" s="9"/>
    </row>
    <row r="65" customFormat="false" ht="15" hidden="false" customHeight="false" outlineLevel="0" collapsed="false">
      <c r="A65" s="8" t="s">
        <v>241</v>
      </c>
      <c r="B65" s="8"/>
      <c r="C65" s="8"/>
      <c r="D65" s="8"/>
      <c r="E65" s="8"/>
      <c r="F65" s="8"/>
      <c r="G65" s="8"/>
      <c r="H65" s="8"/>
      <c r="I65" s="8"/>
      <c r="J65" s="8"/>
    </row>
    <row r="66" customFormat="false" ht="23.85" hidden="false" customHeight="false" outlineLevel="0" collapsed="false">
      <c r="A66" s="9" t="s">
        <v>242</v>
      </c>
      <c r="B66" s="9" t="s">
        <v>34</v>
      </c>
      <c r="C66" s="9" t="s">
        <v>243</v>
      </c>
      <c r="D66" s="9" t="s">
        <v>244</v>
      </c>
      <c r="E66" s="9"/>
      <c r="F66" s="9"/>
      <c r="G66" s="9"/>
      <c r="H66" s="9"/>
      <c r="I66" s="9"/>
      <c r="J66" s="9"/>
    </row>
    <row r="67" customFormat="false" ht="23.85" hidden="false" customHeight="false" outlineLevel="0" collapsed="false">
      <c r="A67" s="9" t="s">
        <v>245</v>
      </c>
      <c r="B67" s="9" t="s">
        <v>34</v>
      </c>
      <c r="C67" s="9" t="s">
        <v>246</v>
      </c>
      <c r="D67" s="9" t="s">
        <v>247</v>
      </c>
      <c r="E67" s="9"/>
      <c r="F67" s="9"/>
      <c r="G67" s="9"/>
      <c r="H67" s="9"/>
      <c r="I67" s="9"/>
      <c r="J67" s="9"/>
    </row>
    <row r="68" customFormat="false" ht="23.85" hidden="false" customHeight="false" outlineLevel="0" collapsed="false">
      <c r="A68" s="9" t="s">
        <v>248</v>
      </c>
      <c r="B68" s="9" t="s">
        <v>34</v>
      </c>
      <c r="C68" s="9" t="s">
        <v>249</v>
      </c>
      <c r="D68" s="9" t="s">
        <v>250</v>
      </c>
      <c r="E68" s="9"/>
      <c r="F68" s="9"/>
      <c r="G68" s="9"/>
      <c r="H68" s="9"/>
      <c r="I68" s="9"/>
      <c r="J68" s="9"/>
    </row>
    <row r="69" customFormat="false" ht="15" hidden="false" customHeight="false" outlineLevel="0" collapsed="false">
      <c r="A69" s="9" t="s">
        <v>251</v>
      </c>
      <c r="B69" s="9" t="s">
        <v>34</v>
      </c>
      <c r="C69" s="9" t="s">
        <v>252</v>
      </c>
      <c r="D69" s="9" t="s">
        <v>21</v>
      </c>
      <c r="E69" s="9"/>
      <c r="F69" s="9"/>
      <c r="G69" s="9"/>
      <c r="H69" s="9"/>
      <c r="I69" s="9"/>
      <c r="J69" s="9"/>
    </row>
    <row r="70" customFormat="false" ht="23.85" hidden="false" customHeight="false" outlineLevel="0" collapsed="false">
      <c r="A70" s="9" t="s">
        <v>253</v>
      </c>
      <c r="B70" s="9" t="s">
        <v>34</v>
      </c>
      <c r="C70" s="9" t="s">
        <v>254</v>
      </c>
      <c r="D70" s="9" t="s">
        <v>255</v>
      </c>
      <c r="E70" s="9"/>
      <c r="F70" s="9"/>
      <c r="G70" s="9"/>
      <c r="H70" s="9"/>
      <c r="I70" s="9"/>
      <c r="J70" s="9"/>
    </row>
    <row r="71" customFormat="false" ht="15" hidden="false" customHeight="false" outlineLevel="0" collapsed="false">
      <c r="A71" s="9" t="s">
        <v>256</v>
      </c>
      <c r="B71" s="9" t="s">
        <v>34</v>
      </c>
      <c r="C71" s="9" t="s">
        <v>257</v>
      </c>
      <c r="D71" s="9" t="s">
        <v>258</v>
      </c>
      <c r="E71" s="9"/>
      <c r="F71" s="9"/>
      <c r="G71" s="9"/>
      <c r="H71" s="9"/>
      <c r="I71" s="9"/>
      <c r="J71" s="9"/>
    </row>
    <row r="72" customFormat="false" ht="23.85" hidden="false" customHeight="false" outlineLevel="0" collapsed="false">
      <c r="A72" s="9" t="s">
        <v>259</v>
      </c>
      <c r="B72" s="9" t="s">
        <v>34</v>
      </c>
      <c r="C72" s="9" t="s">
        <v>260</v>
      </c>
      <c r="D72" s="9" t="s">
        <v>261</v>
      </c>
      <c r="E72" s="9"/>
      <c r="F72" s="9"/>
      <c r="G72" s="9"/>
      <c r="H72" s="9"/>
      <c r="I72" s="9"/>
      <c r="J72" s="9"/>
    </row>
    <row r="73" customFormat="false" ht="15" hidden="false" customHeight="false" outlineLevel="0" collapsed="false">
      <c r="A73" s="8" t="s">
        <v>262</v>
      </c>
      <c r="B73" s="8"/>
      <c r="C73" s="8"/>
      <c r="D73" s="8"/>
      <c r="E73" s="8"/>
      <c r="F73" s="8"/>
      <c r="G73" s="8"/>
      <c r="H73" s="8"/>
      <c r="I73" s="8"/>
      <c r="J73" s="8"/>
    </row>
    <row r="74" customFormat="false" ht="23.85" hidden="false" customHeight="false" outlineLevel="0" collapsed="false">
      <c r="A74" s="9" t="s">
        <v>263</v>
      </c>
      <c r="B74" s="9" t="s">
        <v>35</v>
      </c>
      <c r="C74" s="9" t="s">
        <v>264</v>
      </c>
      <c r="D74" s="9" t="s">
        <v>265</v>
      </c>
      <c r="E74" s="9"/>
      <c r="F74" s="9"/>
      <c r="G74" s="9"/>
      <c r="H74" s="9"/>
      <c r="I74" s="9"/>
      <c r="J74" s="9"/>
    </row>
    <row r="75" customFormat="false" ht="15" hidden="false" customHeight="false" outlineLevel="0" collapsed="false">
      <c r="A75" s="9" t="s">
        <v>266</v>
      </c>
      <c r="B75" s="9" t="s">
        <v>35</v>
      </c>
      <c r="C75" s="9" t="s">
        <v>267</v>
      </c>
      <c r="D75" s="9" t="s">
        <v>268</v>
      </c>
      <c r="E75" s="9"/>
      <c r="F75" s="9"/>
      <c r="G75" s="9"/>
      <c r="H75" s="9"/>
      <c r="I75" s="9"/>
      <c r="J75" s="9"/>
    </row>
    <row r="76" customFormat="false" ht="15" hidden="false" customHeight="false" outlineLevel="0" collapsed="false">
      <c r="A76" s="9" t="s">
        <v>269</v>
      </c>
      <c r="B76" s="9" t="s">
        <v>35</v>
      </c>
      <c r="C76" s="9" t="s">
        <v>270</v>
      </c>
      <c r="D76" s="9" t="s">
        <v>271</v>
      </c>
      <c r="E76" s="9"/>
      <c r="F76" s="9"/>
      <c r="G76" s="9"/>
      <c r="H76" s="9"/>
      <c r="I76" s="9"/>
      <c r="J76" s="9"/>
    </row>
    <row r="77" customFormat="false" ht="15" hidden="false" customHeight="false" outlineLevel="0" collapsed="false">
      <c r="A77" s="9" t="s">
        <v>272</v>
      </c>
      <c r="B77" s="9" t="s">
        <v>35</v>
      </c>
      <c r="C77" s="9" t="s">
        <v>273</v>
      </c>
      <c r="D77" s="9" t="s">
        <v>274</v>
      </c>
      <c r="E77" s="9"/>
      <c r="F77" s="9"/>
      <c r="G77" s="9"/>
      <c r="H77" s="9"/>
      <c r="I77" s="9"/>
      <c r="J77" s="9"/>
    </row>
    <row r="78" customFormat="false" ht="35.05" hidden="false" customHeight="false" outlineLevel="0" collapsed="false">
      <c r="A78" s="9" t="s">
        <v>275</v>
      </c>
      <c r="B78" s="9" t="s">
        <v>35</v>
      </c>
      <c r="C78" s="9" t="s">
        <v>276</v>
      </c>
      <c r="D78" s="9" t="s">
        <v>277</v>
      </c>
      <c r="E78" s="9"/>
      <c r="F78" s="9"/>
      <c r="G78" s="9"/>
      <c r="H78" s="9"/>
      <c r="I78" s="9"/>
      <c r="J78" s="9"/>
    </row>
    <row r="79" customFormat="false" ht="15" hidden="false" customHeight="false" outlineLevel="0" collapsed="false">
      <c r="A79" s="9" t="s">
        <v>278</v>
      </c>
      <c r="B79" s="9" t="s">
        <v>35</v>
      </c>
      <c r="C79" s="9" t="s">
        <v>279</v>
      </c>
      <c r="D79" s="9" t="s">
        <v>280</v>
      </c>
      <c r="E79" s="9"/>
      <c r="F79" s="9"/>
      <c r="G79" s="9"/>
      <c r="H79" s="9"/>
      <c r="I79" s="9"/>
      <c r="J79" s="9"/>
    </row>
    <row r="80" customFormat="false" ht="23.85" hidden="false" customHeight="false" outlineLevel="0" collapsed="false">
      <c r="A80" s="9" t="s">
        <v>281</v>
      </c>
      <c r="B80" s="9" t="s">
        <v>35</v>
      </c>
      <c r="C80" s="9" t="s">
        <v>282</v>
      </c>
      <c r="D80" s="9" t="s">
        <v>283</v>
      </c>
      <c r="E80" s="9"/>
      <c r="F80" s="9"/>
      <c r="G80" s="9"/>
      <c r="H80" s="9"/>
      <c r="I80" s="9"/>
      <c r="J80" s="9"/>
    </row>
    <row r="81" customFormat="false" ht="35.05" hidden="false" customHeight="false" outlineLevel="0" collapsed="false">
      <c r="A81" s="9" t="s">
        <v>284</v>
      </c>
      <c r="B81" s="9" t="s">
        <v>35</v>
      </c>
      <c r="C81" s="9" t="s">
        <v>285</v>
      </c>
      <c r="D81" s="9" t="s">
        <v>286</v>
      </c>
      <c r="E81" s="9"/>
      <c r="F81" s="9"/>
      <c r="G81" s="9"/>
      <c r="H81" s="9"/>
      <c r="I81" s="9"/>
      <c r="J81" s="9"/>
    </row>
    <row r="82" customFormat="false" ht="15" hidden="false" customHeight="false" outlineLevel="0" collapsed="false">
      <c r="A82" s="9" t="s">
        <v>287</v>
      </c>
      <c r="B82" s="9" t="s">
        <v>35</v>
      </c>
      <c r="C82" s="9" t="s">
        <v>288</v>
      </c>
      <c r="D82" s="9" t="s">
        <v>289</v>
      </c>
      <c r="E82" s="9"/>
      <c r="F82" s="9"/>
      <c r="G82" s="9"/>
      <c r="H82" s="9"/>
      <c r="I82" s="9"/>
      <c r="J82" s="9"/>
    </row>
    <row r="83" customFormat="false" ht="35.05" hidden="false" customHeight="false" outlineLevel="0" collapsed="false">
      <c r="A83" s="9" t="s">
        <v>290</v>
      </c>
      <c r="B83" s="9" t="s">
        <v>35</v>
      </c>
      <c r="C83" s="9" t="s">
        <v>291</v>
      </c>
      <c r="D83" s="9" t="s">
        <v>292</v>
      </c>
      <c r="E83" s="9"/>
      <c r="F83" s="9"/>
      <c r="G83" s="9"/>
      <c r="H83" s="9"/>
      <c r="I83" s="9"/>
      <c r="J83" s="9"/>
    </row>
    <row r="84" customFormat="false" ht="23.85" hidden="false" customHeight="false" outlineLevel="0" collapsed="false">
      <c r="A84" s="9" t="s">
        <v>293</v>
      </c>
      <c r="B84" s="9" t="s">
        <v>35</v>
      </c>
      <c r="C84" s="9" t="s">
        <v>294</v>
      </c>
      <c r="D84" s="9" t="s">
        <v>295</v>
      </c>
      <c r="E84" s="9"/>
      <c r="F84" s="9"/>
      <c r="G84" s="9"/>
      <c r="H84" s="9"/>
      <c r="I84" s="9"/>
      <c r="J84" s="9"/>
    </row>
    <row r="85" customFormat="false" ht="23.85" hidden="false" customHeight="false" outlineLevel="0" collapsed="false">
      <c r="A85" s="9" t="s">
        <v>296</v>
      </c>
      <c r="B85" s="9" t="s">
        <v>35</v>
      </c>
      <c r="C85" s="9" t="s">
        <v>297</v>
      </c>
      <c r="D85" s="9" t="s">
        <v>298</v>
      </c>
      <c r="E85" s="9"/>
      <c r="F85" s="9"/>
      <c r="G85" s="9"/>
      <c r="H85" s="9"/>
      <c r="I85" s="9"/>
      <c r="J85" s="9"/>
    </row>
    <row r="86" customFormat="false" ht="15" hidden="false" customHeight="false" outlineLevel="0" collapsed="false">
      <c r="A86" s="8" t="s">
        <v>299</v>
      </c>
      <c r="B86" s="8"/>
      <c r="C86" s="8"/>
      <c r="D86" s="8"/>
      <c r="E86" s="8"/>
      <c r="F86" s="8"/>
      <c r="G86" s="8"/>
      <c r="H86" s="8"/>
      <c r="I86" s="8"/>
      <c r="J86" s="8"/>
    </row>
    <row r="87" customFormat="false" ht="15" hidden="false" customHeight="false" outlineLevel="0" collapsed="false">
      <c r="A87" s="9" t="s">
        <v>300</v>
      </c>
      <c r="B87" s="9" t="s">
        <v>36</v>
      </c>
      <c r="C87" s="9" t="s">
        <v>301</v>
      </c>
      <c r="D87" s="9" t="s">
        <v>302</v>
      </c>
      <c r="E87" s="9"/>
      <c r="F87" s="9"/>
      <c r="G87" s="9"/>
      <c r="H87" s="9"/>
      <c r="I87" s="9"/>
      <c r="J87" s="9"/>
    </row>
    <row r="88" customFormat="false" ht="15" hidden="false" customHeight="false" outlineLevel="0" collapsed="false">
      <c r="A88" s="9" t="s">
        <v>303</v>
      </c>
      <c r="B88" s="9" t="s">
        <v>36</v>
      </c>
      <c r="C88" s="9" t="s">
        <v>304</v>
      </c>
      <c r="D88" s="9" t="s">
        <v>305</v>
      </c>
      <c r="E88" s="9"/>
      <c r="F88" s="9"/>
      <c r="G88" s="9"/>
      <c r="H88" s="9"/>
      <c r="I88" s="9"/>
      <c r="J88" s="9"/>
    </row>
    <row r="89" customFormat="false" ht="15" hidden="false" customHeight="false" outlineLevel="0" collapsed="false">
      <c r="A89" s="9" t="s">
        <v>306</v>
      </c>
      <c r="B89" s="9" t="s">
        <v>36</v>
      </c>
      <c r="C89" s="9" t="s">
        <v>307</v>
      </c>
      <c r="D89" s="9" t="s">
        <v>308</v>
      </c>
      <c r="E89" s="9"/>
      <c r="F89" s="9"/>
      <c r="G89" s="9"/>
      <c r="H89" s="9"/>
      <c r="I89" s="9"/>
      <c r="J89" s="9"/>
    </row>
    <row r="90" customFormat="false" ht="23.85" hidden="false" customHeight="false" outlineLevel="0" collapsed="false">
      <c r="A90" s="9" t="s">
        <v>309</v>
      </c>
      <c r="B90" s="9" t="s">
        <v>36</v>
      </c>
      <c r="C90" s="9" t="s">
        <v>310</v>
      </c>
      <c r="D90" s="9" t="s">
        <v>311</v>
      </c>
      <c r="E90" s="9"/>
      <c r="F90" s="9"/>
      <c r="G90" s="9"/>
      <c r="H90" s="9"/>
      <c r="I90" s="9"/>
      <c r="J90" s="9"/>
    </row>
    <row r="91" customFormat="false" ht="23.85" hidden="false" customHeight="false" outlineLevel="0" collapsed="false">
      <c r="A91" s="9" t="s">
        <v>312</v>
      </c>
      <c r="B91" s="9" t="s">
        <v>36</v>
      </c>
      <c r="C91" s="9" t="s">
        <v>313</v>
      </c>
      <c r="D91" s="9" t="s">
        <v>314</v>
      </c>
      <c r="E91" s="9"/>
      <c r="F91" s="9"/>
      <c r="G91" s="9"/>
      <c r="H91" s="9"/>
      <c r="I91" s="9"/>
      <c r="J91" s="9"/>
    </row>
    <row r="92" customFormat="false" ht="23.85" hidden="false" customHeight="false" outlineLevel="0" collapsed="false">
      <c r="A92" s="9" t="s">
        <v>315</v>
      </c>
      <c r="B92" s="9" t="s">
        <v>36</v>
      </c>
      <c r="C92" s="9" t="s">
        <v>316</v>
      </c>
      <c r="D92" s="9" t="s">
        <v>317</v>
      </c>
      <c r="E92" s="9"/>
      <c r="F92" s="9"/>
      <c r="G92" s="9"/>
      <c r="H92" s="9"/>
      <c r="I92" s="9"/>
      <c r="J92" s="9"/>
    </row>
    <row r="93" customFormat="false" ht="15" hidden="false" customHeight="false" outlineLevel="0" collapsed="false">
      <c r="A93" s="9" t="s">
        <v>318</v>
      </c>
      <c r="B93" s="9" t="s">
        <v>36</v>
      </c>
      <c r="C93" s="9" t="s">
        <v>319</v>
      </c>
      <c r="D93" s="9" t="s">
        <v>320</v>
      </c>
      <c r="E93" s="9"/>
      <c r="F93" s="9"/>
      <c r="G93" s="9"/>
      <c r="H93" s="9"/>
      <c r="I93" s="9"/>
      <c r="J93" s="9"/>
    </row>
    <row r="94" customFormat="false" ht="15" hidden="false" customHeight="false" outlineLevel="0" collapsed="false">
      <c r="A94" s="8" t="s">
        <v>321</v>
      </c>
      <c r="B94" s="8"/>
      <c r="C94" s="8"/>
      <c r="D94" s="8"/>
      <c r="E94" s="8"/>
      <c r="F94" s="8"/>
      <c r="G94" s="8"/>
      <c r="H94" s="8"/>
      <c r="I94" s="8"/>
      <c r="J94" s="8"/>
    </row>
    <row r="95" customFormat="false" ht="23.85" hidden="false" customHeight="false" outlineLevel="0" collapsed="false">
      <c r="A95" s="9" t="s">
        <v>322</v>
      </c>
      <c r="B95" s="9" t="s">
        <v>37</v>
      </c>
      <c r="C95" s="9" t="s">
        <v>323</v>
      </c>
      <c r="D95" s="9" t="s">
        <v>324</v>
      </c>
      <c r="E95" s="9"/>
      <c r="F95" s="9"/>
      <c r="G95" s="9"/>
      <c r="H95" s="9"/>
      <c r="I95" s="9"/>
      <c r="J95" s="9"/>
    </row>
    <row r="96" customFormat="false" ht="23.85" hidden="false" customHeight="false" outlineLevel="0" collapsed="false">
      <c r="A96" s="9" t="s">
        <v>325</v>
      </c>
      <c r="B96" s="9" t="s">
        <v>37</v>
      </c>
      <c r="C96" s="9" t="s">
        <v>326</v>
      </c>
      <c r="D96" s="9" t="s">
        <v>327</v>
      </c>
      <c r="E96" s="9"/>
      <c r="F96" s="9"/>
      <c r="G96" s="9"/>
      <c r="H96" s="9"/>
      <c r="I96" s="9"/>
      <c r="J96" s="9"/>
    </row>
    <row r="97" customFormat="false" ht="23.85" hidden="false" customHeight="false" outlineLevel="0" collapsed="false">
      <c r="A97" s="9" t="s">
        <v>328</v>
      </c>
      <c r="B97" s="9" t="s">
        <v>37</v>
      </c>
      <c r="C97" s="9" t="s">
        <v>329</v>
      </c>
      <c r="D97" s="9" t="s">
        <v>330</v>
      </c>
      <c r="E97" s="9"/>
      <c r="F97" s="9"/>
      <c r="G97" s="9"/>
      <c r="H97" s="9"/>
      <c r="I97" s="9"/>
      <c r="J97" s="9"/>
    </row>
    <row r="98" customFormat="false" ht="23.85" hidden="false" customHeight="false" outlineLevel="0" collapsed="false">
      <c r="A98" s="9" t="s">
        <v>331</v>
      </c>
      <c r="B98" s="9" t="s">
        <v>37</v>
      </c>
      <c r="C98" s="9" t="s">
        <v>332</v>
      </c>
      <c r="D98" s="9" t="s">
        <v>333</v>
      </c>
      <c r="E98" s="9"/>
      <c r="F98" s="9"/>
      <c r="G98" s="9"/>
      <c r="H98" s="9"/>
      <c r="I98" s="9"/>
      <c r="J98" s="9"/>
    </row>
    <row r="99" customFormat="false" ht="23.85" hidden="false" customHeight="false" outlineLevel="0" collapsed="false">
      <c r="A99" s="9" t="s">
        <v>334</v>
      </c>
      <c r="B99" s="9" t="s">
        <v>37</v>
      </c>
      <c r="C99" s="9" t="s">
        <v>335</v>
      </c>
      <c r="D99" s="9" t="s">
        <v>336</v>
      </c>
      <c r="E99" s="9"/>
      <c r="F99" s="9"/>
      <c r="G99" s="9"/>
      <c r="H99" s="9"/>
      <c r="I99" s="9"/>
      <c r="J99" s="9"/>
    </row>
    <row r="100" customFormat="false" ht="15" hidden="false" customHeight="false" outlineLevel="0" collapsed="false">
      <c r="A100" s="9" t="s">
        <v>337</v>
      </c>
      <c r="B100" s="9" t="s">
        <v>37</v>
      </c>
      <c r="C100" s="9" t="s">
        <v>338</v>
      </c>
      <c r="D100" s="9" t="s">
        <v>339</v>
      </c>
      <c r="E100" s="9"/>
      <c r="F100" s="9"/>
      <c r="G100" s="9"/>
      <c r="H100" s="9"/>
      <c r="I100" s="9"/>
      <c r="J100" s="9"/>
    </row>
    <row r="101" customFormat="false" ht="15" hidden="false" customHeight="false" outlineLevel="0" collapsed="false">
      <c r="A101" s="9" t="s">
        <v>340</v>
      </c>
      <c r="B101" s="9" t="s">
        <v>37</v>
      </c>
      <c r="C101" s="9" t="s">
        <v>341</v>
      </c>
      <c r="D101" s="9" t="s">
        <v>342</v>
      </c>
      <c r="E101" s="9"/>
      <c r="F101" s="9"/>
      <c r="G101" s="9"/>
      <c r="H101" s="9"/>
      <c r="I101" s="9"/>
      <c r="J101" s="9"/>
    </row>
    <row r="102" customFormat="false" ht="35.05" hidden="false" customHeight="false" outlineLevel="0" collapsed="false">
      <c r="A102" s="9" t="s">
        <v>343</v>
      </c>
      <c r="B102" s="9" t="s">
        <v>37</v>
      </c>
      <c r="C102" s="9" t="s">
        <v>344</v>
      </c>
      <c r="D102" s="9" t="s">
        <v>345</v>
      </c>
      <c r="E102" s="9"/>
      <c r="F102" s="9"/>
      <c r="G102" s="9"/>
      <c r="H102" s="9"/>
      <c r="I102" s="9"/>
      <c r="J102" s="9"/>
    </row>
    <row r="103" customFormat="false" ht="15" hidden="false" customHeight="false" outlineLevel="0" collapsed="false">
      <c r="A103" s="9" t="s">
        <v>346</v>
      </c>
      <c r="B103" s="9" t="s">
        <v>37</v>
      </c>
      <c r="C103" s="9" t="s">
        <v>347</v>
      </c>
      <c r="D103" s="9" t="s">
        <v>348</v>
      </c>
      <c r="E103" s="9"/>
      <c r="F103" s="9"/>
      <c r="G103" s="9"/>
      <c r="H103" s="9"/>
      <c r="I103" s="9"/>
      <c r="J103" s="9"/>
    </row>
    <row r="104" customFormat="false" ht="23.85" hidden="false" customHeight="false" outlineLevel="0" collapsed="false">
      <c r="A104" s="9" t="s">
        <v>349</v>
      </c>
      <c r="B104" s="9" t="s">
        <v>37</v>
      </c>
      <c r="C104" s="9" t="s">
        <v>350</v>
      </c>
      <c r="D104" s="9" t="s">
        <v>351</v>
      </c>
      <c r="E104" s="9"/>
      <c r="F104" s="9"/>
      <c r="G104" s="9"/>
      <c r="H104" s="9"/>
      <c r="I104" s="9"/>
      <c r="J104" s="9"/>
    </row>
    <row r="105" customFormat="false" ht="23.85" hidden="false" customHeight="false" outlineLevel="0" collapsed="false">
      <c r="A105" s="9" t="s">
        <v>352</v>
      </c>
      <c r="B105" s="9" t="s">
        <v>37</v>
      </c>
      <c r="C105" s="9" t="s">
        <v>353</v>
      </c>
      <c r="D105" s="9" t="s">
        <v>354</v>
      </c>
      <c r="E105" s="9"/>
      <c r="F105" s="9"/>
      <c r="G105" s="9"/>
      <c r="H105" s="9"/>
      <c r="I105" s="9"/>
      <c r="J105" s="9"/>
    </row>
    <row r="106" customFormat="false" ht="23.85" hidden="false" customHeight="false" outlineLevel="0" collapsed="false">
      <c r="A106" s="9" t="s">
        <v>355</v>
      </c>
      <c r="B106" s="9" t="s">
        <v>37</v>
      </c>
      <c r="C106" s="9" t="s">
        <v>356</v>
      </c>
      <c r="D106" s="9" t="s">
        <v>357</v>
      </c>
      <c r="E106" s="9"/>
      <c r="F106" s="9"/>
      <c r="G106" s="9"/>
      <c r="H106" s="9"/>
      <c r="I106" s="9"/>
      <c r="J106" s="9"/>
    </row>
    <row r="107" customFormat="false" ht="15" hidden="false" customHeight="false" outlineLevel="0" collapsed="false">
      <c r="A107" s="8" t="s">
        <v>358</v>
      </c>
      <c r="B107" s="8"/>
      <c r="C107" s="8"/>
      <c r="D107" s="8"/>
      <c r="E107" s="8"/>
      <c r="F107" s="8"/>
      <c r="G107" s="8"/>
      <c r="H107" s="8"/>
      <c r="I107" s="8"/>
      <c r="J107" s="8"/>
    </row>
    <row r="108" customFormat="false" ht="15" hidden="false" customHeight="false" outlineLevel="0" collapsed="false">
      <c r="A108" s="9" t="s">
        <v>359</v>
      </c>
      <c r="B108" s="9" t="s">
        <v>38</v>
      </c>
      <c r="C108" s="9" t="s">
        <v>360</v>
      </c>
      <c r="D108" s="9" t="s">
        <v>93</v>
      </c>
      <c r="E108" s="9"/>
      <c r="F108" s="9"/>
      <c r="G108" s="9"/>
      <c r="H108" s="9"/>
      <c r="I108" s="9"/>
      <c r="J108" s="9"/>
    </row>
    <row r="109" customFormat="false" ht="15" hidden="false" customHeight="false" outlineLevel="0" collapsed="false">
      <c r="A109" s="9" t="s">
        <v>361</v>
      </c>
      <c r="B109" s="9" t="s">
        <v>38</v>
      </c>
      <c r="C109" s="9" t="s">
        <v>362</v>
      </c>
      <c r="D109" s="9" t="s">
        <v>363</v>
      </c>
      <c r="E109" s="9"/>
      <c r="F109" s="9"/>
      <c r="G109" s="9"/>
      <c r="H109" s="9"/>
      <c r="I109" s="9"/>
      <c r="J109" s="9"/>
    </row>
    <row r="110" customFormat="false" ht="46.25" hidden="false" customHeight="false" outlineLevel="0" collapsed="false">
      <c r="A110" s="9" t="s">
        <v>364</v>
      </c>
      <c r="B110" s="9" t="s">
        <v>38</v>
      </c>
      <c r="C110" s="9" t="s">
        <v>365</v>
      </c>
      <c r="D110" s="9" t="s">
        <v>366</v>
      </c>
      <c r="E110" s="9"/>
      <c r="F110" s="9"/>
      <c r="G110" s="9"/>
      <c r="H110" s="9"/>
      <c r="I110" s="9"/>
      <c r="J110" s="9"/>
    </row>
    <row r="111" customFormat="false" ht="15" hidden="false" customHeight="false" outlineLevel="0" collapsed="false">
      <c r="A111" s="9" t="s">
        <v>367</v>
      </c>
      <c r="B111" s="9" t="s">
        <v>38</v>
      </c>
      <c r="C111" s="9" t="s">
        <v>368</v>
      </c>
      <c r="D111" s="9" t="s">
        <v>369</v>
      </c>
      <c r="E111" s="9"/>
      <c r="F111" s="9"/>
      <c r="G111" s="9"/>
      <c r="H111" s="9"/>
      <c r="I111" s="9"/>
      <c r="J111" s="9"/>
    </row>
    <row r="112" customFormat="false" ht="23.85" hidden="false" customHeight="false" outlineLevel="0" collapsed="false">
      <c r="A112" s="9" t="s">
        <v>370</v>
      </c>
      <c r="B112" s="9" t="s">
        <v>38</v>
      </c>
      <c r="C112" s="9" t="s">
        <v>371</v>
      </c>
      <c r="D112" s="9" t="s">
        <v>372</v>
      </c>
      <c r="E112" s="9"/>
      <c r="F112" s="9"/>
      <c r="G112" s="9"/>
      <c r="H112" s="9"/>
      <c r="I112" s="9"/>
      <c r="J112" s="9"/>
    </row>
    <row r="113" customFormat="false" ht="23.85" hidden="false" customHeight="false" outlineLevel="0" collapsed="false">
      <c r="A113" s="9" t="s">
        <v>373</v>
      </c>
      <c r="B113" s="9" t="s">
        <v>38</v>
      </c>
      <c r="C113" s="9" t="s">
        <v>374</v>
      </c>
      <c r="D113" s="9" t="s">
        <v>375</v>
      </c>
      <c r="E113" s="9"/>
      <c r="F113" s="9"/>
      <c r="G113" s="9"/>
      <c r="H113" s="9"/>
      <c r="I113" s="9"/>
      <c r="J113" s="9"/>
    </row>
    <row r="114" customFormat="false" ht="23.85" hidden="false" customHeight="false" outlineLevel="0" collapsed="false">
      <c r="A114" s="9" t="s">
        <v>376</v>
      </c>
      <c r="B114" s="9" t="s">
        <v>38</v>
      </c>
      <c r="C114" s="9" t="s">
        <v>377</v>
      </c>
      <c r="D114" s="9" t="s">
        <v>378</v>
      </c>
      <c r="E114" s="9"/>
      <c r="F114" s="9"/>
      <c r="G114" s="9"/>
      <c r="H114" s="9"/>
      <c r="I114" s="9"/>
      <c r="J114" s="9"/>
    </row>
    <row r="115" customFormat="false" ht="23.85" hidden="false" customHeight="false" outlineLevel="0" collapsed="false">
      <c r="A115" s="9" t="s">
        <v>379</v>
      </c>
      <c r="B115" s="9" t="s">
        <v>38</v>
      </c>
      <c r="C115" s="9" t="s">
        <v>380</v>
      </c>
      <c r="D115" s="9" t="s">
        <v>381</v>
      </c>
      <c r="E115" s="9"/>
      <c r="F115" s="9"/>
      <c r="G115" s="9"/>
      <c r="H115" s="9"/>
      <c r="I115" s="9"/>
      <c r="J115" s="9"/>
    </row>
    <row r="116" customFormat="false" ht="15" hidden="false" customHeight="false" outlineLevel="0" collapsed="false">
      <c r="A116" s="9" t="s">
        <v>382</v>
      </c>
      <c r="B116" s="9" t="s">
        <v>38</v>
      </c>
      <c r="C116" s="9" t="s">
        <v>383</v>
      </c>
      <c r="D116" s="9" t="s">
        <v>384</v>
      </c>
      <c r="E116" s="9"/>
      <c r="F116" s="9"/>
      <c r="G116" s="9"/>
      <c r="H116" s="9"/>
      <c r="I116" s="9"/>
      <c r="J116" s="9"/>
    </row>
    <row r="117" customFormat="false" ht="15" hidden="false" customHeight="false" outlineLevel="0" collapsed="false">
      <c r="A117" s="8" t="s">
        <v>385</v>
      </c>
      <c r="B117" s="8"/>
      <c r="C117" s="8"/>
      <c r="D117" s="8"/>
      <c r="E117" s="8"/>
      <c r="F117" s="8"/>
      <c r="G117" s="8"/>
      <c r="H117" s="8"/>
      <c r="I117" s="8"/>
      <c r="J117" s="8"/>
    </row>
    <row r="118" customFormat="false" ht="23.85" hidden="false" customHeight="false" outlineLevel="0" collapsed="false">
      <c r="A118" s="9" t="s">
        <v>386</v>
      </c>
      <c r="B118" s="9" t="s">
        <v>39</v>
      </c>
      <c r="C118" s="9" t="s">
        <v>387</v>
      </c>
      <c r="D118" s="9" t="s">
        <v>388</v>
      </c>
      <c r="E118" s="9"/>
      <c r="F118" s="9"/>
      <c r="G118" s="9"/>
      <c r="H118" s="9"/>
      <c r="I118" s="9"/>
      <c r="J118" s="9"/>
    </row>
    <row r="119" customFormat="false" ht="23.85" hidden="false" customHeight="false" outlineLevel="0" collapsed="false">
      <c r="A119" s="9" t="s">
        <v>389</v>
      </c>
      <c r="B119" s="9" t="s">
        <v>39</v>
      </c>
      <c r="C119" s="9" t="s">
        <v>390</v>
      </c>
      <c r="D119" s="9" t="s">
        <v>391</v>
      </c>
      <c r="E119" s="9"/>
      <c r="F119" s="9"/>
      <c r="G119" s="9"/>
      <c r="H119" s="9"/>
      <c r="I119" s="9"/>
      <c r="J119" s="9"/>
    </row>
    <row r="120" customFormat="false" ht="46.25" hidden="false" customHeight="false" outlineLevel="0" collapsed="false">
      <c r="A120" s="9" t="s">
        <v>392</v>
      </c>
      <c r="B120" s="9" t="s">
        <v>39</v>
      </c>
      <c r="C120" s="9" t="s">
        <v>393</v>
      </c>
      <c r="D120" s="9" t="s">
        <v>394</v>
      </c>
      <c r="E120" s="9"/>
      <c r="F120" s="9"/>
      <c r="G120" s="9"/>
      <c r="H120" s="9"/>
      <c r="I120" s="9"/>
      <c r="J120" s="9"/>
    </row>
    <row r="121" customFormat="false" ht="15" hidden="false" customHeight="false" outlineLevel="0" collapsed="false">
      <c r="A121" s="9" t="s">
        <v>395</v>
      </c>
      <c r="B121" s="9" t="s">
        <v>39</v>
      </c>
      <c r="C121" s="9" t="s">
        <v>396</v>
      </c>
      <c r="D121" s="9" t="s">
        <v>397</v>
      </c>
      <c r="E121" s="9"/>
      <c r="F121" s="9"/>
      <c r="G121" s="9"/>
      <c r="H121" s="9"/>
      <c r="I121" s="9"/>
      <c r="J121" s="9"/>
    </row>
    <row r="122" customFormat="false" ht="15" hidden="false" customHeight="false" outlineLevel="0" collapsed="false">
      <c r="A122" s="9" t="s">
        <v>398</v>
      </c>
      <c r="B122" s="9" t="s">
        <v>39</v>
      </c>
      <c r="C122" s="9" t="s">
        <v>399</v>
      </c>
      <c r="D122" s="9" t="s">
        <v>21</v>
      </c>
      <c r="E122" s="9"/>
      <c r="F122" s="9"/>
      <c r="G122" s="9"/>
      <c r="H122" s="9"/>
      <c r="I122" s="9"/>
      <c r="J122" s="9"/>
    </row>
    <row r="123" customFormat="false" ht="15" hidden="false" customHeight="false" outlineLevel="0" collapsed="false">
      <c r="A123" s="9" t="s">
        <v>400</v>
      </c>
      <c r="B123" s="9" t="s">
        <v>39</v>
      </c>
      <c r="C123" s="9" t="s">
        <v>401</v>
      </c>
      <c r="D123" s="9" t="s">
        <v>402</v>
      </c>
      <c r="E123" s="9"/>
      <c r="F123" s="9"/>
      <c r="G123" s="9"/>
      <c r="H123" s="9"/>
      <c r="I123" s="9"/>
      <c r="J123" s="9"/>
    </row>
    <row r="124" customFormat="false" ht="15" hidden="false" customHeight="false" outlineLevel="0" collapsed="false">
      <c r="A124" s="9" t="s">
        <v>403</v>
      </c>
      <c r="B124" s="9" t="s">
        <v>39</v>
      </c>
      <c r="C124" s="9" t="s">
        <v>319</v>
      </c>
      <c r="D124" s="9" t="s">
        <v>404</v>
      </c>
      <c r="E124" s="9"/>
      <c r="F124" s="9"/>
      <c r="G124" s="9"/>
      <c r="H124" s="9"/>
      <c r="I124" s="9"/>
      <c r="J124" s="9"/>
    </row>
    <row r="125" customFormat="false" ht="15" hidden="false" customHeight="false" outlineLevel="0" collapsed="false">
      <c r="A125" s="8" t="s">
        <v>405</v>
      </c>
      <c r="B125" s="8"/>
      <c r="C125" s="8"/>
      <c r="D125" s="8"/>
      <c r="E125" s="8"/>
      <c r="F125" s="8"/>
      <c r="G125" s="8"/>
      <c r="H125" s="8"/>
      <c r="I125" s="8"/>
      <c r="J125" s="8"/>
    </row>
    <row r="126" customFormat="false" ht="23.85" hidden="false" customHeight="false" outlineLevel="0" collapsed="false">
      <c r="A126" s="9" t="s">
        <v>406</v>
      </c>
      <c r="B126" s="9" t="s">
        <v>40</v>
      </c>
      <c r="C126" s="9" t="s">
        <v>407</v>
      </c>
      <c r="D126" s="9" t="s">
        <v>408</v>
      </c>
      <c r="E126" s="9"/>
      <c r="F126" s="9"/>
      <c r="G126" s="9"/>
      <c r="H126" s="9"/>
      <c r="I126" s="9"/>
      <c r="J126" s="9"/>
    </row>
    <row r="127" customFormat="false" ht="35.05" hidden="false" customHeight="false" outlineLevel="0" collapsed="false">
      <c r="A127" s="9" t="s">
        <v>409</v>
      </c>
      <c r="B127" s="9" t="s">
        <v>40</v>
      </c>
      <c r="C127" s="9" t="s">
        <v>410</v>
      </c>
      <c r="D127" s="9" t="s">
        <v>411</v>
      </c>
      <c r="E127" s="9"/>
      <c r="F127" s="9"/>
      <c r="G127" s="9"/>
      <c r="H127" s="9"/>
      <c r="I127" s="9"/>
      <c r="J127" s="9"/>
    </row>
    <row r="128" customFormat="false" ht="15" hidden="false" customHeight="false" outlineLevel="0" collapsed="false">
      <c r="A128" s="9" t="s">
        <v>412</v>
      </c>
      <c r="B128" s="9" t="s">
        <v>40</v>
      </c>
      <c r="C128" s="9" t="s">
        <v>413</v>
      </c>
      <c r="D128" s="9" t="s">
        <v>414</v>
      </c>
      <c r="E128" s="9"/>
      <c r="F128" s="9"/>
      <c r="G128" s="9"/>
      <c r="H128" s="9"/>
      <c r="I128" s="9"/>
      <c r="J128" s="9"/>
    </row>
    <row r="129" customFormat="false" ht="15" hidden="false" customHeight="false" outlineLevel="0" collapsed="false">
      <c r="A129" s="9" t="s">
        <v>415</v>
      </c>
      <c r="B129" s="9" t="s">
        <v>40</v>
      </c>
      <c r="C129" s="9" t="s">
        <v>416</v>
      </c>
      <c r="D129" s="9" t="s">
        <v>417</v>
      </c>
      <c r="E129" s="9"/>
      <c r="F129" s="9"/>
      <c r="G129" s="9"/>
      <c r="H129" s="9"/>
      <c r="I129" s="9"/>
      <c r="J129" s="9"/>
    </row>
    <row r="130" customFormat="false" ht="15" hidden="false" customHeight="false" outlineLevel="0" collapsed="false">
      <c r="A130" s="9" t="s">
        <v>418</v>
      </c>
      <c r="B130" s="9" t="s">
        <v>40</v>
      </c>
      <c r="C130" s="9" t="s">
        <v>419</v>
      </c>
      <c r="D130" s="9" t="s">
        <v>420</v>
      </c>
      <c r="E130" s="9"/>
      <c r="F130" s="9"/>
      <c r="G130" s="9"/>
      <c r="H130" s="9"/>
      <c r="I130" s="9"/>
      <c r="J130" s="9"/>
    </row>
    <row r="131" customFormat="false" ht="15" hidden="false" customHeight="false" outlineLevel="0" collapsed="false">
      <c r="A131" s="8" t="s">
        <v>421</v>
      </c>
      <c r="B131" s="8"/>
      <c r="C131" s="8"/>
      <c r="D131" s="8"/>
      <c r="E131" s="8"/>
      <c r="F131" s="8"/>
      <c r="G131" s="8"/>
      <c r="H131" s="8"/>
      <c r="I131" s="8"/>
      <c r="J131" s="8"/>
    </row>
    <row r="132" customFormat="false" ht="23.85" hidden="false" customHeight="false" outlineLevel="0" collapsed="false">
      <c r="A132" s="9" t="s">
        <v>422</v>
      </c>
      <c r="B132" s="9" t="s">
        <v>41</v>
      </c>
      <c r="C132" s="9" t="s">
        <v>423</v>
      </c>
      <c r="D132" s="9" t="s">
        <v>424</v>
      </c>
      <c r="E132" s="9"/>
      <c r="F132" s="9"/>
      <c r="G132" s="9"/>
      <c r="H132" s="9"/>
      <c r="I132" s="9"/>
      <c r="J132" s="9"/>
    </row>
    <row r="133" customFormat="false" ht="23.85" hidden="false" customHeight="false" outlineLevel="0" collapsed="false">
      <c r="A133" s="9" t="s">
        <v>425</v>
      </c>
      <c r="B133" s="9" t="s">
        <v>41</v>
      </c>
      <c r="C133" s="9" t="s">
        <v>426</v>
      </c>
      <c r="D133" s="9" t="s">
        <v>427</v>
      </c>
      <c r="E133" s="9"/>
      <c r="F133" s="9"/>
      <c r="G133" s="9"/>
      <c r="H133" s="9"/>
      <c r="I133" s="9"/>
      <c r="J133" s="9"/>
    </row>
    <row r="134" customFormat="false" ht="15" hidden="false" customHeight="false" outlineLevel="0" collapsed="false">
      <c r="A134" s="9" t="s">
        <v>428</v>
      </c>
      <c r="B134" s="9" t="s">
        <v>41</v>
      </c>
      <c r="C134" s="9" t="s">
        <v>429</v>
      </c>
      <c r="D134" s="9" t="s">
        <v>430</v>
      </c>
      <c r="E134" s="9"/>
      <c r="F134" s="9"/>
      <c r="G134" s="9"/>
      <c r="H134" s="9"/>
      <c r="I134" s="9"/>
      <c r="J134" s="9"/>
    </row>
    <row r="135" customFormat="false" ht="15" hidden="false" customHeight="false" outlineLevel="0" collapsed="false">
      <c r="A135" s="9" t="s">
        <v>431</v>
      </c>
      <c r="B135" s="9" t="s">
        <v>41</v>
      </c>
      <c r="C135" s="9" t="s">
        <v>432</v>
      </c>
      <c r="D135" s="9" t="s">
        <v>433</v>
      </c>
      <c r="E135" s="9"/>
      <c r="F135" s="9"/>
      <c r="G135" s="9"/>
      <c r="H135" s="9"/>
      <c r="I135" s="9"/>
      <c r="J135" s="9"/>
    </row>
    <row r="136" customFormat="false" ht="23.85" hidden="false" customHeight="false" outlineLevel="0" collapsed="false">
      <c r="A136" s="9" t="s">
        <v>434</v>
      </c>
      <c r="B136" s="9" t="s">
        <v>41</v>
      </c>
      <c r="C136" s="9" t="s">
        <v>435</v>
      </c>
      <c r="D136" s="9" t="s">
        <v>436</v>
      </c>
      <c r="E136" s="9"/>
      <c r="F136" s="9"/>
      <c r="G136" s="9"/>
      <c r="H136" s="9"/>
      <c r="I136" s="9"/>
      <c r="J136" s="9"/>
    </row>
    <row r="137" customFormat="false" ht="23.85" hidden="false" customHeight="false" outlineLevel="0" collapsed="false">
      <c r="A137" s="9" t="s">
        <v>437</v>
      </c>
      <c r="B137" s="9" t="s">
        <v>41</v>
      </c>
      <c r="C137" s="9" t="s">
        <v>438</v>
      </c>
      <c r="D137" s="9" t="s">
        <v>439</v>
      </c>
      <c r="E137" s="9"/>
      <c r="F137" s="9"/>
      <c r="G137" s="9"/>
      <c r="H137" s="9"/>
      <c r="I137" s="9"/>
      <c r="J137" s="9"/>
    </row>
    <row r="138" customFormat="false" ht="15" hidden="false" customHeight="false" outlineLevel="0" collapsed="false">
      <c r="A138" s="9" t="s">
        <v>440</v>
      </c>
      <c r="B138" s="9" t="s">
        <v>41</v>
      </c>
      <c r="C138" s="9" t="s">
        <v>441</v>
      </c>
      <c r="D138" s="9" t="s">
        <v>442</v>
      </c>
      <c r="E138" s="9"/>
      <c r="F138" s="9"/>
      <c r="G138" s="9"/>
      <c r="H138" s="9"/>
      <c r="I138" s="9"/>
      <c r="J138" s="9"/>
    </row>
    <row r="139" customFormat="false" ht="15" hidden="false" customHeight="false" outlineLevel="0" collapsed="false">
      <c r="A139" s="8" t="s">
        <v>443</v>
      </c>
      <c r="B139" s="8"/>
      <c r="C139" s="8"/>
      <c r="D139" s="8"/>
      <c r="E139" s="8"/>
      <c r="F139" s="8"/>
      <c r="G139" s="8"/>
      <c r="H139" s="8"/>
      <c r="I139" s="8"/>
      <c r="J139" s="8"/>
    </row>
    <row r="140" customFormat="false" ht="23.85" hidden="false" customHeight="false" outlineLevel="0" collapsed="false">
      <c r="A140" s="9" t="s">
        <v>444</v>
      </c>
      <c r="B140" s="9" t="s">
        <v>42</v>
      </c>
      <c r="C140" s="9" t="s">
        <v>445</v>
      </c>
      <c r="D140" s="9" t="s">
        <v>446</v>
      </c>
      <c r="E140" s="9"/>
      <c r="F140" s="9"/>
      <c r="G140" s="9"/>
      <c r="H140" s="9"/>
      <c r="I140" s="9"/>
      <c r="J140" s="9"/>
    </row>
    <row r="141" customFormat="false" ht="35.05" hidden="false" customHeight="false" outlineLevel="0" collapsed="false">
      <c r="A141" s="9" t="s">
        <v>447</v>
      </c>
      <c r="B141" s="9" t="s">
        <v>42</v>
      </c>
      <c r="C141" s="9" t="s">
        <v>448</v>
      </c>
      <c r="D141" s="9" t="s">
        <v>449</v>
      </c>
      <c r="E141" s="9"/>
      <c r="F141" s="9"/>
      <c r="G141" s="9"/>
      <c r="H141" s="9"/>
      <c r="I141" s="9"/>
      <c r="J141" s="9"/>
    </row>
    <row r="142" customFormat="false" ht="15" hidden="false" customHeight="false" outlineLevel="0" collapsed="false">
      <c r="A142" s="9" t="s">
        <v>450</v>
      </c>
      <c r="B142" s="9" t="s">
        <v>42</v>
      </c>
      <c r="C142" s="9" t="s">
        <v>451</v>
      </c>
      <c r="D142" s="9" t="s">
        <v>452</v>
      </c>
      <c r="E142" s="9"/>
      <c r="F142" s="9"/>
      <c r="G142" s="9"/>
      <c r="H142" s="9"/>
      <c r="I142" s="9"/>
      <c r="J142" s="9"/>
    </row>
    <row r="143" customFormat="false" ht="23.85" hidden="false" customHeight="false" outlineLevel="0" collapsed="false">
      <c r="A143" s="9" t="s">
        <v>453</v>
      </c>
      <c r="B143" s="9" t="s">
        <v>42</v>
      </c>
      <c r="C143" s="9" t="s">
        <v>454</v>
      </c>
      <c r="D143" s="9" t="s">
        <v>455</v>
      </c>
      <c r="E143" s="9"/>
      <c r="F143" s="9"/>
      <c r="G143" s="9"/>
      <c r="H143" s="9"/>
      <c r="I143" s="9"/>
      <c r="J143" s="9"/>
    </row>
    <row r="144" customFormat="false" ht="15" hidden="false" customHeight="false" outlineLevel="0" collapsed="false">
      <c r="A144" s="9" t="s">
        <v>456</v>
      </c>
      <c r="B144" s="9" t="s">
        <v>42</v>
      </c>
      <c r="C144" s="9" t="s">
        <v>457</v>
      </c>
      <c r="D144" s="9" t="s">
        <v>458</v>
      </c>
      <c r="E144" s="9"/>
      <c r="F144" s="9"/>
      <c r="G144" s="9"/>
      <c r="H144" s="9"/>
      <c r="I144" s="9"/>
      <c r="J144" s="9"/>
    </row>
    <row r="145" customFormat="false" ht="15" hidden="false" customHeight="false" outlineLevel="0" collapsed="false">
      <c r="A145" s="9" t="s">
        <v>459</v>
      </c>
      <c r="B145" s="9" t="s">
        <v>42</v>
      </c>
      <c r="C145" s="9" t="s">
        <v>460</v>
      </c>
      <c r="D145" s="9" t="s">
        <v>461</v>
      </c>
      <c r="E145" s="9"/>
      <c r="F145" s="9"/>
      <c r="G145" s="9"/>
      <c r="H145" s="9"/>
      <c r="I145" s="9"/>
      <c r="J145" s="9"/>
    </row>
    <row r="146" customFormat="false" ht="23.85" hidden="false" customHeight="false" outlineLevel="0" collapsed="false">
      <c r="A146" s="9" t="s">
        <v>462</v>
      </c>
      <c r="B146" s="9" t="s">
        <v>42</v>
      </c>
      <c r="C146" s="9" t="s">
        <v>463</v>
      </c>
      <c r="D146" s="9" t="s">
        <v>464</v>
      </c>
      <c r="E146" s="9"/>
      <c r="F146" s="9"/>
      <c r="G146" s="9"/>
      <c r="H146" s="9"/>
      <c r="I146" s="9"/>
      <c r="J146" s="9"/>
    </row>
    <row r="147" customFormat="false" ht="35.05" hidden="false" customHeight="false" outlineLevel="0" collapsed="false">
      <c r="A147" s="9" t="s">
        <v>465</v>
      </c>
      <c r="B147" s="9" t="s">
        <v>42</v>
      </c>
      <c r="C147" s="9" t="s">
        <v>466</v>
      </c>
      <c r="D147" s="9" t="s">
        <v>467</v>
      </c>
      <c r="E147" s="9"/>
      <c r="F147" s="9"/>
      <c r="G147" s="9"/>
      <c r="H147" s="9"/>
      <c r="I147" s="9"/>
      <c r="J147" s="9"/>
    </row>
    <row r="148" customFormat="false" ht="15" hidden="false" customHeight="false" outlineLevel="0" collapsed="false">
      <c r="A148" s="9" t="s">
        <v>468</v>
      </c>
      <c r="B148" s="9" t="s">
        <v>42</v>
      </c>
      <c r="C148" s="9" t="s">
        <v>469</v>
      </c>
      <c r="D148" s="9" t="s">
        <v>470</v>
      </c>
      <c r="E148" s="9"/>
      <c r="F148" s="9"/>
      <c r="G148" s="9"/>
      <c r="H148" s="9"/>
      <c r="I148" s="9"/>
      <c r="J148" s="9"/>
    </row>
    <row r="149" customFormat="false" ht="15" hidden="false" customHeight="false" outlineLevel="0" collapsed="false">
      <c r="A149" s="9" t="s">
        <v>471</v>
      </c>
      <c r="B149" s="9" t="s">
        <v>42</v>
      </c>
      <c r="C149" s="9" t="s">
        <v>472</v>
      </c>
      <c r="D149" s="9" t="s">
        <v>473</v>
      </c>
      <c r="E149" s="9"/>
      <c r="F149" s="9"/>
      <c r="G149" s="9"/>
      <c r="H149" s="9"/>
      <c r="I149" s="9"/>
      <c r="J149" s="9"/>
    </row>
    <row r="150" customFormat="false" ht="15" hidden="false" customHeight="false" outlineLevel="0" collapsed="false">
      <c r="A150" s="8" t="s">
        <v>474</v>
      </c>
      <c r="B150" s="8"/>
      <c r="C150" s="8"/>
      <c r="D150" s="8"/>
      <c r="E150" s="8"/>
      <c r="F150" s="8"/>
      <c r="G150" s="8"/>
      <c r="H150" s="8"/>
      <c r="I150" s="8"/>
      <c r="J150" s="8"/>
    </row>
    <row r="151" customFormat="false" ht="23.85" hidden="false" customHeight="false" outlineLevel="0" collapsed="false">
      <c r="A151" s="9" t="s">
        <v>475</v>
      </c>
      <c r="B151" s="9" t="s">
        <v>43</v>
      </c>
      <c r="C151" s="9" t="s">
        <v>476</v>
      </c>
      <c r="D151" s="9" t="s">
        <v>477</v>
      </c>
      <c r="E151" s="9"/>
      <c r="F151" s="9"/>
      <c r="G151" s="9"/>
      <c r="H151" s="9"/>
      <c r="I151" s="9"/>
      <c r="J151" s="9"/>
    </row>
    <row r="152" customFormat="false" ht="35.05" hidden="false" customHeight="false" outlineLevel="0" collapsed="false">
      <c r="A152" s="9" t="s">
        <v>478</v>
      </c>
      <c r="B152" s="9" t="s">
        <v>43</v>
      </c>
      <c r="C152" s="9" t="s">
        <v>479</v>
      </c>
      <c r="D152" s="9" t="s">
        <v>480</v>
      </c>
      <c r="E152" s="9"/>
      <c r="F152" s="9"/>
      <c r="G152" s="9"/>
      <c r="H152" s="9"/>
      <c r="I152" s="9"/>
      <c r="J152" s="9"/>
    </row>
    <row r="153" customFormat="false" ht="15" hidden="false" customHeight="false" outlineLevel="0" collapsed="false">
      <c r="A153" s="9" t="s">
        <v>481</v>
      </c>
      <c r="B153" s="9" t="s">
        <v>43</v>
      </c>
      <c r="C153" s="9" t="s">
        <v>482</v>
      </c>
      <c r="D153" s="9" t="s">
        <v>483</v>
      </c>
      <c r="E153" s="9"/>
      <c r="F153" s="9"/>
      <c r="G153" s="9"/>
      <c r="H153" s="9"/>
      <c r="I153" s="9"/>
      <c r="J153" s="9"/>
    </row>
    <row r="154" customFormat="false" ht="15" hidden="false" customHeight="false" outlineLevel="0" collapsed="false">
      <c r="A154" s="9" t="s">
        <v>484</v>
      </c>
      <c r="B154" s="9" t="s">
        <v>43</v>
      </c>
      <c r="C154" s="9" t="s">
        <v>485</v>
      </c>
      <c r="D154" s="9" t="s">
        <v>486</v>
      </c>
      <c r="E154" s="9"/>
      <c r="F154" s="9"/>
      <c r="G154" s="9"/>
      <c r="H154" s="9"/>
      <c r="I154" s="9"/>
      <c r="J154" s="9"/>
    </row>
    <row r="155" customFormat="false" ht="23.85" hidden="false" customHeight="false" outlineLevel="0" collapsed="false">
      <c r="A155" s="9" t="s">
        <v>487</v>
      </c>
      <c r="B155" s="9" t="s">
        <v>43</v>
      </c>
      <c r="C155" s="9" t="s">
        <v>488</v>
      </c>
      <c r="D155" s="9" t="s">
        <v>489</v>
      </c>
      <c r="E155" s="9"/>
      <c r="F155" s="9"/>
      <c r="G155" s="9"/>
      <c r="H155" s="9"/>
      <c r="I155" s="9"/>
      <c r="J155" s="9"/>
    </row>
    <row r="156" customFormat="false" ht="15" hidden="false" customHeight="false" outlineLevel="0" collapsed="false">
      <c r="A156" s="9" t="s">
        <v>490</v>
      </c>
      <c r="B156" s="9" t="s">
        <v>43</v>
      </c>
      <c r="C156" s="9" t="s">
        <v>491</v>
      </c>
      <c r="D156" s="9" t="s">
        <v>492</v>
      </c>
      <c r="E156" s="9"/>
      <c r="F156" s="9"/>
      <c r="G156" s="9"/>
      <c r="H156" s="9"/>
      <c r="I156" s="9"/>
      <c r="J156" s="9"/>
    </row>
    <row r="157" customFormat="false" ht="23.85" hidden="false" customHeight="false" outlineLevel="0" collapsed="false">
      <c r="A157" s="9" t="s">
        <v>493</v>
      </c>
      <c r="B157" s="9" t="s">
        <v>43</v>
      </c>
      <c r="C157" s="9" t="s">
        <v>494</v>
      </c>
      <c r="D157" s="9" t="s">
        <v>495</v>
      </c>
      <c r="E157" s="9"/>
      <c r="F157" s="9"/>
      <c r="G157" s="9"/>
      <c r="H157" s="9"/>
      <c r="I157" s="9"/>
      <c r="J157" s="9"/>
    </row>
    <row r="158" customFormat="false" ht="23.85" hidden="false" customHeight="false" outlineLevel="0" collapsed="false">
      <c r="A158" s="9" t="s">
        <v>496</v>
      </c>
      <c r="B158" s="9" t="s">
        <v>43</v>
      </c>
      <c r="C158" s="9" t="s">
        <v>497</v>
      </c>
      <c r="D158" s="9" t="s">
        <v>498</v>
      </c>
      <c r="E158" s="9"/>
      <c r="F158" s="9"/>
      <c r="G158" s="9"/>
      <c r="H158" s="9"/>
      <c r="I158" s="9"/>
      <c r="J158" s="9"/>
    </row>
    <row r="159" customFormat="false" ht="23.85" hidden="false" customHeight="false" outlineLevel="0" collapsed="false">
      <c r="A159" s="9" t="s">
        <v>499</v>
      </c>
      <c r="B159" s="9" t="s">
        <v>43</v>
      </c>
      <c r="C159" s="9" t="s">
        <v>500</v>
      </c>
      <c r="D159" s="9" t="s">
        <v>501</v>
      </c>
      <c r="E159" s="9"/>
      <c r="F159" s="9"/>
      <c r="G159" s="9"/>
      <c r="H159" s="9"/>
      <c r="I159" s="9"/>
      <c r="J159" s="9"/>
    </row>
    <row r="160" customFormat="false" ht="15" hidden="false" customHeight="false" outlineLevel="0" collapsed="false">
      <c r="A160" s="8" t="s">
        <v>502</v>
      </c>
      <c r="B160" s="8"/>
      <c r="C160" s="8"/>
      <c r="D160" s="8"/>
      <c r="E160" s="8"/>
      <c r="F160" s="8"/>
      <c r="G160" s="8"/>
      <c r="H160" s="8"/>
      <c r="I160" s="8"/>
      <c r="J160" s="8"/>
    </row>
    <row r="161" customFormat="false" ht="15" hidden="false" customHeight="false" outlineLevel="0" collapsed="false">
      <c r="A161" s="9" t="s">
        <v>503</v>
      </c>
      <c r="B161" s="9" t="s">
        <v>44</v>
      </c>
      <c r="C161" s="9" t="s">
        <v>504</v>
      </c>
      <c r="D161" s="9" t="s">
        <v>505</v>
      </c>
      <c r="E161" s="9"/>
      <c r="F161" s="9"/>
      <c r="G161" s="9"/>
      <c r="H161" s="9"/>
      <c r="I161" s="9"/>
      <c r="J161" s="9"/>
    </row>
    <row r="162" customFormat="false" ht="23.85" hidden="false" customHeight="false" outlineLevel="0" collapsed="false">
      <c r="A162" s="9" t="s">
        <v>506</v>
      </c>
      <c r="B162" s="9" t="s">
        <v>44</v>
      </c>
      <c r="C162" s="9" t="s">
        <v>507</v>
      </c>
      <c r="D162" s="9" t="s">
        <v>508</v>
      </c>
      <c r="E162" s="9"/>
      <c r="F162" s="9"/>
      <c r="G162" s="9"/>
      <c r="H162" s="9"/>
      <c r="I162" s="9"/>
      <c r="J162" s="9"/>
    </row>
    <row r="163" customFormat="false" ht="23.85" hidden="false" customHeight="false" outlineLevel="0" collapsed="false">
      <c r="A163" s="9" t="s">
        <v>509</v>
      </c>
      <c r="B163" s="9" t="s">
        <v>44</v>
      </c>
      <c r="C163" s="9" t="s">
        <v>510</v>
      </c>
      <c r="D163" s="9" t="s">
        <v>511</v>
      </c>
      <c r="E163" s="9"/>
      <c r="F163" s="9"/>
      <c r="G163" s="9"/>
      <c r="H163" s="9"/>
      <c r="I163" s="9"/>
      <c r="J163" s="9"/>
    </row>
    <row r="164" customFormat="false" ht="15" hidden="false" customHeight="false" outlineLevel="0" collapsed="false">
      <c r="A164" s="9" t="s">
        <v>512</v>
      </c>
      <c r="B164" s="9" t="s">
        <v>44</v>
      </c>
      <c r="C164" s="9" t="s">
        <v>513</v>
      </c>
      <c r="D164" s="9" t="s">
        <v>514</v>
      </c>
      <c r="E164" s="9"/>
      <c r="F164" s="9"/>
      <c r="G164" s="9"/>
      <c r="H164" s="9"/>
      <c r="I164" s="9"/>
      <c r="J164" s="9"/>
    </row>
    <row r="165" customFormat="false" ht="23.85" hidden="false" customHeight="false" outlineLevel="0" collapsed="false">
      <c r="A165" s="9" t="s">
        <v>515</v>
      </c>
      <c r="B165" s="9" t="s">
        <v>44</v>
      </c>
      <c r="C165" s="9" t="s">
        <v>516</v>
      </c>
      <c r="D165" s="9" t="s">
        <v>517</v>
      </c>
      <c r="E165" s="9"/>
      <c r="F165" s="9"/>
      <c r="G165" s="9"/>
      <c r="H165" s="9"/>
      <c r="I165" s="9"/>
      <c r="J165" s="9"/>
    </row>
    <row r="166" customFormat="false" ht="23.85" hidden="false" customHeight="false" outlineLevel="0" collapsed="false">
      <c r="A166" s="9" t="s">
        <v>518</v>
      </c>
      <c r="B166" s="9" t="s">
        <v>44</v>
      </c>
      <c r="C166" s="9" t="s">
        <v>519</v>
      </c>
      <c r="D166" s="9" t="s">
        <v>520</v>
      </c>
      <c r="E166" s="9"/>
      <c r="F166" s="9"/>
      <c r="G166" s="9"/>
      <c r="H166" s="9"/>
      <c r="I166" s="9"/>
      <c r="J166" s="9"/>
    </row>
    <row r="167" customFormat="false" ht="23.85" hidden="false" customHeight="false" outlineLevel="0" collapsed="false">
      <c r="A167" s="9" t="s">
        <v>521</v>
      </c>
      <c r="B167" s="9" t="s">
        <v>44</v>
      </c>
      <c r="C167" s="9" t="s">
        <v>522</v>
      </c>
      <c r="D167" s="9" t="s">
        <v>523</v>
      </c>
      <c r="E167" s="9"/>
      <c r="F167" s="9"/>
      <c r="G167" s="9"/>
      <c r="H167" s="9"/>
      <c r="I167" s="9"/>
      <c r="J167" s="9"/>
    </row>
    <row r="168" customFormat="false" ht="15" hidden="false" customHeight="false" outlineLevel="0" collapsed="false">
      <c r="A168" s="9" t="s">
        <v>524</v>
      </c>
      <c r="B168" s="9" t="s">
        <v>44</v>
      </c>
      <c r="C168" s="9" t="s">
        <v>525</v>
      </c>
      <c r="D168" s="9" t="s">
        <v>526</v>
      </c>
      <c r="E168" s="9"/>
      <c r="F168" s="9"/>
      <c r="G168" s="9"/>
      <c r="H168" s="9"/>
      <c r="I168" s="9"/>
      <c r="J168" s="9"/>
    </row>
    <row r="169" customFormat="false" ht="15" hidden="false" customHeight="false" outlineLevel="0" collapsed="false">
      <c r="A169" s="9" t="s">
        <v>527</v>
      </c>
      <c r="B169" s="9" t="s">
        <v>44</v>
      </c>
      <c r="C169" s="9" t="s">
        <v>319</v>
      </c>
      <c r="D169" s="9" t="s">
        <v>528</v>
      </c>
      <c r="E169" s="9"/>
      <c r="F169" s="9"/>
      <c r="G169" s="9"/>
      <c r="H169" s="9"/>
      <c r="I169" s="9"/>
      <c r="J169" s="9"/>
    </row>
    <row r="170" customFormat="false" ht="15" hidden="false" customHeight="false" outlineLevel="0" collapsed="false">
      <c r="A170" s="8" t="s">
        <v>529</v>
      </c>
      <c r="B170" s="8"/>
      <c r="C170" s="8"/>
      <c r="D170" s="8"/>
      <c r="E170" s="8"/>
      <c r="F170" s="8"/>
      <c r="G170" s="8"/>
      <c r="H170" s="8"/>
      <c r="I170" s="8"/>
      <c r="J170" s="8"/>
    </row>
    <row r="171" customFormat="false" ht="23.85" hidden="false" customHeight="false" outlineLevel="0" collapsed="false">
      <c r="A171" s="9" t="s">
        <v>530</v>
      </c>
      <c r="B171" s="9" t="s">
        <v>45</v>
      </c>
      <c r="C171" s="9" t="s">
        <v>531</v>
      </c>
      <c r="D171" s="9" t="s">
        <v>532</v>
      </c>
      <c r="E171" s="9"/>
      <c r="F171" s="9"/>
      <c r="G171" s="9"/>
      <c r="H171" s="9"/>
      <c r="I171" s="9"/>
      <c r="J171" s="9"/>
    </row>
    <row r="172" customFormat="false" ht="15" hidden="false" customHeight="false" outlineLevel="0" collapsed="false">
      <c r="A172" s="9" t="s">
        <v>533</v>
      </c>
      <c r="B172" s="9" t="s">
        <v>45</v>
      </c>
      <c r="C172" s="9" t="s">
        <v>534</v>
      </c>
      <c r="D172" s="9" t="s">
        <v>535</v>
      </c>
      <c r="E172" s="9"/>
      <c r="F172" s="9"/>
      <c r="G172" s="9"/>
      <c r="H172" s="9"/>
      <c r="I172" s="9"/>
      <c r="J172" s="9"/>
    </row>
    <row r="173" customFormat="false" ht="15" hidden="false" customHeight="false" outlineLevel="0" collapsed="false">
      <c r="A173" s="9" t="s">
        <v>536</v>
      </c>
      <c r="B173" s="9" t="s">
        <v>45</v>
      </c>
      <c r="C173" s="9" t="s">
        <v>537</v>
      </c>
      <c r="D173" s="9" t="s">
        <v>538</v>
      </c>
      <c r="E173" s="9"/>
      <c r="F173" s="9"/>
      <c r="G173" s="9"/>
      <c r="H173" s="9"/>
      <c r="I173" s="9"/>
      <c r="J173" s="9"/>
    </row>
    <row r="174" customFormat="false" ht="15" hidden="false" customHeight="false" outlineLevel="0" collapsed="false">
      <c r="A174" s="9" t="s">
        <v>539</v>
      </c>
      <c r="B174" s="9" t="s">
        <v>45</v>
      </c>
      <c r="C174" s="9" t="s">
        <v>540</v>
      </c>
      <c r="D174" s="9" t="s">
        <v>541</v>
      </c>
      <c r="E174" s="9"/>
      <c r="F174" s="9"/>
      <c r="G174" s="9"/>
      <c r="H174" s="9"/>
      <c r="I174" s="9"/>
      <c r="J174" s="9"/>
    </row>
    <row r="175" customFormat="false" ht="15" hidden="false" customHeight="false" outlineLevel="0" collapsed="false">
      <c r="A175" s="9" t="s">
        <v>542</v>
      </c>
      <c r="B175" s="9" t="s">
        <v>45</v>
      </c>
      <c r="C175" s="9" t="s">
        <v>543</v>
      </c>
      <c r="D175" s="9" t="s">
        <v>544</v>
      </c>
      <c r="E175" s="9"/>
      <c r="F175" s="9"/>
      <c r="G175" s="9"/>
      <c r="H175" s="9"/>
      <c r="I175" s="9"/>
      <c r="J175" s="9"/>
    </row>
    <row r="176" customFormat="false" ht="23.85" hidden="false" customHeight="false" outlineLevel="0" collapsed="false">
      <c r="A176" s="9" t="s">
        <v>545</v>
      </c>
      <c r="B176" s="9" t="s">
        <v>45</v>
      </c>
      <c r="C176" s="9" t="s">
        <v>546</v>
      </c>
      <c r="D176" s="9" t="s">
        <v>547</v>
      </c>
      <c r="E176" s="9"/>
      <c r="F176" s="9"/>
      <c r="G176" s="9"/>
      <c r="H176" s="9"/>
      <c r="I176" s="9"/>
      <c r="J176" s="9"/>
    </row>
    <row r="177" customFormat="false" ht="15" hidden="false" customHeight="false" outlineLevel="0" collapsed="false">
      <c r="A177" s="9" t="s">
        <v>548</v>
      </c>
      <c r="B177" s="9" t="s">
        <v>45</v>
      </c>
      <c r="C177" s="9" t="s">
        <v>549</v>
      </c>
      <c r="D177" s="9" t="s">
        <v>550</v>
      </c>
      <c r="E177" s="9"/>
      <c r="F177" s="9"/>
      <c r="G177" s="9"/>
      <c r="H177" s="9"/>
      <c r="I177" s="9"/>
      <c r="J177" s="9"/>
    </row>
    <row r="178" customFormat="false" ht="15" hidden="false" customHeight="false" outlineLevel="0" collapsed="false">
      <c r="A178" s="8" t="s">
        <v>551</v>
      </c>
      <c r="B178" s="8"/>
      <c r="C178" s="8"/>
      <c r="D178" s="8"/>
      <c r="E178" s="8"/>
      <c r="F178" s="8"/>
      <c r="G178" s="8"/>
      <c r="H178" s="8"/>
      <c r="I178" s="8"/>
      <c r="J178" s="8"/>
    </row>
    <row r="179" customFormat="false" ht="57.45" hidden="false" customHeight="false" outlineLevel="0" collapsed="false">
      <c r="A179" s="9" t="s">
        <v>552</v>
      </c>
      <c r="B179" s="9" t="s">
        <v>46</v>
      </c>
      <c r="C179" s="9" t="s">
        <v>553</v>
      </c>
      <c r="D179" s="9" t="s">
        <v>554</v>
      </c>
      <c r="E179" s="9"/>
      <c r="F179" s="9"/>
      <c r="G179" s="9"/>
      <c r="H179" s="9"/>
      <c r="I179" s="9"/>
      <c r="J179" s="9"/>
    </row>
    <row r="180" customFormat="false" ht="35.05" hidden="false" customHeight="false" outlineLevel="0" collapsed="false">
      <c r="A180" s="9" t="s">
        <v>555</v>
      </c>
      <c r="B180" s="9" t="s">
        <v>46</v>
      </c>
      <c r="C180" s="9" t="s">
        <v>556</v>
      </c>
      <c r="D180" s="9" t="s">
        <v>557</v>
      </c>
      <c r="E180" s="9"/>
      <c r="F180" s="9"/>
      <c r="G180" s="9"/>
      <c r="H180" s="9"/>
      <c r="I180" s="9"/>
      <c r="J180" s="9"/>
    </row>
    <row r="181" customFormat="false" ht="23.85" hidden="false" customHeight="false" outlineLevel="0" collapsed="false">
      <c r="A181" s="9" t="s">
        <v>558</v>
      </c>
      <c r="B181" s="9" t="s">
        <v>46</v>
      </c>
      <c r="C181" s="9" t="s">
        <v>559</v>
      </c>
      <c r="D181" s="9" t="s">
        <v>560</v>
      </c>
      <c r="E181" s="9"/>
      <c r="F181" s="9"/>
      <c r="G181" s="9"/>
      <c r="H181" s="9"/>
      <c r="I181" s="9"/>
      <c r="J181" s="9"/>
    </row>
    <row r="182" customFormat="false" ht="23.85" hidden="false" customHeight="false" outlineLevel="0" collapsed="false">
      <c r="A182" s="9" t="s">
        <v>561</v>
      </c>
      <c r="B182" s="9" t="s">
        <v>46</v>
      </c>
      <c r="C182" s="9" t="s">
        <v>562</v>
      </c>
      <c r="D182" s="9" t="s">
        <v>563</v>
      </c>
      <c r="E182" s="9"/>
      <c r="F182" s="9"/>
      <c r="G182" s="9"/>
      <c r="H182" s="9"/>
      <c r="I182" s="9"/>
      <c r="J182" s="9"/>
    </row>
    <row r="183" customFormat="false" ht="23.85" hidden="false" customHeight="false" outlineLevel="0" collapsed="false">
      <c r="A183" s="9" t="s">
        <v>564</v>
      </c>
      <c r="B183" s="9" t="s">
        <v>46</v>
      </c>
      <c r="C183" s="9" t="s">
        <v>565</v>
      </c>
      <c r="D183" s="9" t="s">
        <v>566</v>
      </c>
      <c r="E183" s="9"/>
      <c r="F183" s="9"/>
      <c r="G183" s="9"/>
      <c r="H183" s="9"/>
      <c r="I183" s="9"/>
      <c r="J183" s="9"/>
    </row>
    <row r="184" customFormat="false" ht="15" hidden="false" customHeight="false" outlineLevel="0" collapsed="false">
      <c r="A184" s="9" t="s">
        <v>567</v>
      </c>
      <c r="B184" s="9" t="s">
        <v>46</v>
      </c>
      <c r="C184" s="9" t="s">
        <v>568</v>
      </c>
      <c r="D184" s="9" t="s">
        <v>569</v>
      </c>
      <c r="E184" s="9"/>
      <c r="F184" s="9"/>
      <c r="G184" s="9"/>
      <c r="H184" s="9"/>
      <c r="I184" s="9"/>
      <c r="J184" s="9"/>
    </row>
    <row r="185" customFormat="false" ht="23.85" hidden="false" customHeight="false" outlineLevel="0" collapsed="false">
      <c r="A185" s="9" t="s">
        <v>570</v>
      </c>
      <c r="B185" s="9" t="s">
        <v>46</v>
      </c>
      <c r="C185" s="9" t="s">
        <v>571</v>
      </c>
      <c r="D185" s="9" t="s">
        <v>572</v>
      </c>
      <c r="E185" s="9"/>
      <c r="F185" s="9"/>
      <c r="G185" s="9"/>
      <c r="H185" s="9"/>
      <c r="I185" s="9"/>
      <c r="J185" s="9"/>
    </row>
    <row r="186" customFormat="false" ht="23.85" hidden="false" customHeight="false" outlineLevel="0" collapsed="false">
      <c r="A186" s="9" t="s">
        <v>573</v>
      </c>
      <c r="B186" s="9" t="s">
        <v>46</v>
      </c>
      <c r="C186" s="9" t="s">
        <v>574</v>
      </c>
      <c r="D186" s="9" t="s">
        <v>575</v>
      </c>
      <c r="E186" s="9"/>
      <c r="F186" s="9"/>
      <c r="G186" s="9"/>
      <c r="H186" s="9"/>
      <c r="I186" s="9"/>
      <c r="J186" s="9"/>
    </row>
    <row r="187" customFormat="false" ht="35.05" hidden="false" customHeight="false" outlineLevel="0" collapsed="false">
      <c r="A187" s="9" t="s">
        <v>576</v>
      </c>
      <c r="B187" s="9" t="s">
        <v>46</v>
      </c>
      <c r="C187" s="9" t="s">
        <v>577</v>
      </c>
      <c r="D187" s="9" t="s">
        <v>578</v>
      </c>
      <c r="E187" s="9"/>
      <c r="F187" s="9"/>
      <c r="G187" s="9"/>
      <c r="H187" s="9"/>
      <c r="I187" s="9"/>
      <c r="J187" s="9"/>
    </row>
    <row r="188" customFormat="false" ht="23.85" hidden="false" customHeight="false" outlineLevel="0" collapsed="false">
      <c r="A188" s="9" t="s">
        <v>579</v>
      </c>
      <c r="B188" s="9" t="s">
        <v>46</v>
      </c>
      <c r="C188" s="9" t="s">
        <v>580</v>
      </c>
      <c r="D188" s="9" t="s">
        <v>581</v>
      </c>
      <c r="E188" s="9"/>
      <c r="F188" s="9"/>
      <c r="G188" s="9"/>
      <c r="H188" s="9"/>
      <c r="I188" s="9"/>
      <c r="J188" s="9"/>
    </row>
    <row r="189" customFormat="false" ht="15" hidden="false" customHeight="false" outlineLevel="0" collapsed="false">
      <c r="A189" s="9" t="s">
        <v>582</v>
      </c>
      <c r="B189" s="9" t="s">
        <v>46</v>
      </c>
      <c r="C189" s="9" t="s">
        <v>583</v>
      </c>
      <c r="D189" s="9" t="s">
        <v>584</v>
      </c>
      <c r="E189" s="9"/>
      <c r="F189" s="9"/>
      <c r="G189" s="9"/>
      <c r="H189" s="9"/>
      <c r="I189" s="9"/>
      <c r="J189" s="9"/>
    </row>
    <row r="190" customFormat="false" ht="15" hidden="false" customHeight="false" outlineLevel="0" collapsed="false">
      <c r="A190" s="9" t="s">
        <v>585</v>
      </c>
      <c r="B190" s="9" t="s">
        <v>46</v>
      </c>
      <c r="C190" s="9" t="s">
        <v>586</v>
      </c>
      <c r="D190" s="9" t="s">
        <v>587</v>
      </c>
      <c r="E190" s="9"/>
      <c r="F190" s="9"/>
      <c r="G190" s="9"/>
      <c r="H190" s="9"/>
      <c r="I190" s="9"/>
      <c r="J190" s="9"/>
    </row>
    <row r="191" customFormat="false" ht="15" hidden="false" customHeight="false" outlineLevel="0" collapsed="false">
      <c r="A191" s="9" t="s">
        <v>588</v>
      </c>
      <c r="B191" s="9" t="s">
        <v>46</v>
      </c>
      <c r="C191" s="9" t="s">
        <v>589</v>
      </c>
      <c r="D191" s="9" t="s">
        <v>590</v>
      </c>
      <c r="E191" s="9"/>
      <c r="F191" s="9"/>
      <c r="G191" s="9"/>
      <c r="H191" s="9"/>
      <c r="I191" s="9"/>
      <c r="J191" s="9"/>
    </row>
    <row r="192" customFormat="false" ht="15" hidden="false" customHeight="false" outlineLevel="0" collapsed="false">
      <c r="A192" s="8" t="s">
        <v>591</v>
      </c>
      <c r="B192" s="8"/>
      <c r="C192" s="8"/>
      <c r="D192" s="8"/>
      <c r="E192" s="8"/>
      <c r="F192" s="8"/>
      <c r="G192" s="8"/>
      <c r="H192" s="8"/>
      <c r="I192" s="8"/>
      <c r="J192" s="8"/>
    </row>
    <row r="193" customFormat="false" ht="23.85" hidden="false" customHeight="false" outlineLevel="0" collapsed="false">
      <c r="A193" s="9" t="s">
        <v>592</v>
      </c>
      <c r="B193" s="9" t="s">
        <v>47</v>
      </c>
      <c r="C193" s="9" t="s">
        <v>593</v>
      </c>
      <c r="D193" s="9"/>
      <c r="E193" s="9"/>
      <c r="F193" s="9"/>
      <c r="G193" s="9"/>
      <c r="H193" s="9"/>
      <c r="I193" s="9"/>
      <c r="J193" s="9"/>
    </row>
    <row r="194" customFormat="false" ht="23.85" hidden="false" customHeight="false" outlineLevel="0" collapsed="false">
      <c r="A194" s="9" t="s">
        <v>594</v>
      </c>
      <c r="B194" s="9" t="s">
        <v>47</v>
      </c>
      <c r="C194" s="9" t="s">
        <v>595</v>
      </c>
      <c r="D194" s="9"/>
      <c r="E194" s="9"/>
      <c r="F194" s="9"/>
      <c r="G194" s="9"/>
      <c r="H194" s="9"/>
      <c r="I194" s="9"/>
      <c r="J194" s="9"/>
    </row>
    <row r="195" customFormat="false" ht="15" hidden="false" customHeight="false" outlineLevel="0" collapsed="false">
      <c r="A195" s="9" t="s">
        <v>596</v>
      </c>
      <c r="B195" s="9" t="s">
        <v>47</v>
      </c>
      <c r="C195" s="9" t="s">
        <v>597</v>
      </c>
      <c r="D195" s="9"/>
      <c r="E195" s="9"/>
      <c r="F195" s="9"/>
      <c r="G195" s="9"/>
      <c r="H195" s="9"/>
      <c r="I195" s="9"/>
      <c r="J195" s="9"/>
    </row>
    <row r="196" customFormat="false" ht="23.85" hidden="false" customHeight="false" outlineLevel="0" collapsed="false">
      <c r="A196" s="9" t="s">
        <v>598</v>
      </c>
      <c r="B196" s="9" t="s">
        <v>47</v>
      </c>
      <c r="C196" s="9" t="s">
        <v>599</v>
      </c>
      <c r="D196" s="9"/>
      <c r="E196" s="9"/>
      <c r="F196" s="9"/>
      <c r="G196" s="9"/>
      <c r="H196" s="9"/>
      <c r="I196" s="9"/>
      <c r="J196" s="9"/>
    </row>
  </sheetData>
  <autoFilter ref="A1:J196"/>
  <mergeCells count="19">
    <mergeCell ref="A2:J2"/>
    <mergeCell ref="A9:J9"/>
    <mergeCell ref="A25:J25"/>
    <mergeCell ref="A45:J45"/>
    <mergeCell ref="A56:J56"/>
    <mergeCell ref="A65:J65"/>
    <mergeCell ref="A73:J73"/>
    <mergeCell ref="A86:J86"/>
    <mergeCell ref="A94:J94"/>
    <mergeCell ref="A107:J107"/>
    <mergeCell ref="A117:J117"/>
    <mergeCell ref="A125:J125"/>
    <mergeCell ref="A131:J131"/>
    <mergeCell ref="A139:J139"/>
    <mergeCell ref="A150:J150"/>
    <mergeCell ref="A160:J160"/>
    <mergeCell ref="A170:J170"/>
    <mergeCell ref="A178:J178"/>
    <mergeCell ref="A192:J192"/>
  </mergeCells>
  <dataValidations count="2">
    <dataValidation allowBlank="true" error="Pick Pass, Fail, Blocked or Not tested" errorStyle="stop" operator="between" showDropDown="false" showErrorMessage="false" showInputMessage="false" sqref="F2:F196" type="list">
      <formula1>"Pass,Fail,Blocked,Not tested"</formula1>
      <formula2>0</formula2>
    </dataValidation>
    <dataValidation allowBlank="true" errorStyle="stop" operator="between" showDropDown="false" showErrorMessage="false" showInputMessage="false" sqref="H2:H196" type="list">
      <formula1>"Blocker,Major,Minor"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2026-08-27T16:44:15Z</dcterms:created>
  <dc:creator>openpyxl</dc:creator>
  <dc:description/>
  <dc:language>en-US</dc:language>
  <cp:lastModifiedBy/>
  <dcterms:modified xsi:type="dcterms:W3CDTF">2026-08-27T16:44:16Z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